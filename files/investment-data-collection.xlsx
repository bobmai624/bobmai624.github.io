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maiguai/Desktop/"/>
    </mc:Choice>
  </mc:AlternateContent>
  <xr:revisionPtr revIDLastSave="0" documentId="13_ncr:1_{BF743145-D346-464C-AA04-F28D1A93DF01}" xr6:coauthVersionLast="47" xr6:coauthVersionMax="47" xr10:uidLastSave="{00000000-0000-0000-0000-000000000000}"/>
  <bookViews>
    <workbookView xWindow="0" yWindow="0" windowWidth="51200" windowHeight="28800" activeTab="10" xr2:uid="{7DA5A210-D281-E146-924C-2C4B3C54CB22}"/>
  </bookViews>
  <sheets>
    <sheet name="Residential Property" sheetId="1" r:id="rId1"/>
    <sheet name="Commercial Office" sheetId="2" r:id="rId2"/>
    <sheet name="Industrial Warehouse" sheetId="3" r:id="rId3"/>
    <sheet name="Retail Property" sheetId="4" r:id="rId4"/>
    <sheet name="Logistics Facilities" sheetId="5" r:id="rId5"/>
    <sheet name="ASX 200" sheetId="6" r:id="rId6"/>
    <sheet name="Gov Bonds" sheetId="7" r:id="rId7"/>
    <sheet name="Corp Bonds" sheetId="8" r:id="rId8"/>
    <sheet name="Gold (AUD)" sheetId="9" r:id="rId9"/>
    <sheet name="Iron Ore (AUD)" sheetId="10" r:id="rId10"/>
    <sheet name="Summary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" l="1"/>
  <c r="E10" i="12"/>
  <c r="E9" i="12"/>
  <c r="E8" i="12"/>
  <c r="E7" i="12"/>
  <c r="E6" i="12"/>
  <c r="H4" i="5"/>
  <c r="H5" i="5" s="1"/>
  <c r="H6" i="5" s="1"/>
  <c r="H7" i="5" s="1"/>
  <c r="H8" i="5" s="1"/>
  <c r="H9" i="5" s="1"/>
  <c r="H10" i="5" s="1"/>
  <c r="H11" i="5" s="1"/>
  <c r="H12" i="5" s="1"/>
  <c r="H13" i="5" s="1"/>
  <c r="H3" i="5"/>
  <c r="E5" i="12"/>
  <c r="E4" i="12"/>
  <c r="E3" i="12"/>
  <c r="E2" i="12"/>
  <c r="D3" i="12"/>
  <c r="D4" i="12"/>
  <c r="D5" i="12"/>
  <c r="D6" i="12"/>
  <c r="D7" i="12"/>
  <c r="D8" i="12"/>
  <c r="D9" i="12"/>
  <c r="D10" i="12"/>
  <c r="D11" i="12"/>
  <c r="B11" i="12"/>
  <c r="C11" i="12"/>
  <c r="B10" i="12"/>
  <c r="C10" i="12"/>
  <c r="B9" i="12"/>
  <c r="C9" i="12"/>
  <c r="B8" i="12"/>
  <c r="C8" i="12"/>
  <c r="B7" i="12"/>
  <c r="C7" i="12"/>
  <c r="B6" i="12"/>
  <c r="C6" i="12"/>
  <c r="B5" i="12"/>
  <c r="C5" i="12"/>
  <c r="B4" i="12"/>
  <c r="B3" i="12"/>
  <c r="C4" i="12"/>
  <c r="C3" i="12"/>
  <c r="C2" i="12"/>
  <c r="B2" i="12"/>
  <c r="D2" i="12"/>
  <c r="H2" i="5"/>
  <c r="G3" i="5"/>
  <c r="G4" i="5"/>
  <c r="G5" i="5"/>
  <c r="G6" i="5"/>
  <c r="G7" i="5"/>
  <c r="G8" i="5"/>
  <c r="G9" i="5"/>
  <c r="G10" i="5"/>
  <c r="G11" i="5"/>
  <c r="G12" i="5"/>
  <c r="G13" i="5"/>
  <c r="G2" i="5"/>
  <c r="F3" i="5"/>
  <c r="F4" i="5"/>
  <c r="F5" i="5"/>
  <c r="F6" i="5"/>
  <c r="F7" i="5"/>
  <c r="F8" i="5"/>
  <c r="F9" i="5"/>
  <c r="F10" i="5"/>
  <c r="F11" i="5"/>
  <c r="F12" i="5"/>
  <c r="F13" i="5"/>
  <c r="F2" i="5"/>
  <c r="H4" i="4"/>
  <c r="H5" i="4" s="1"/>
  <c r="H6" i="4" s="1"/>
  <c r="H7" i="4" s="1"/>
  <c r="H8" i="4" s="1"/>
  <c r="H9" i="4" s="1"/>
  <c r="H10" i="4" s="1"/>
  <c r="H11" i="4" s="1"/>
  <c r="H12" i="4" s="1"/>
  <c r="H13" i="4" s="1"/>
  <c r="H3" i="4"/>
  <c r="H2" i="4"/>
  <c r="G3" i="4"/>
  <c r="G4" i="4"/>
  <c r="G5" i="4"/>
  <c r="G6" i="4"/>
  <c r="G7" i="4"/>
  <c r="G8" i="4"/>
  <c r="G9" i="4"/>
  <c r="G10" i="4"/>
  <c r="G11" i="4"/>
  <c r="G12" i="4"/>
  <c r="G13" i="4"/>
  <c r="G2" i="4"/>
  <c r="F3" i="4"/>
  <c r="F4" i="4"/>
  <c r="F5" i="4"/>
  <c r="F6" i="4"/>
  <c r="F7" i="4"/>
  <c r="F8" i="4"/>
  <c r="F9" i="4"/>
  <c r="F10" i="4"/>
  <c r="F11" i="4"/>
  <c r="F12" i="4"/>
  <c r="F13" i="4"/>
  <c r="F2" i="4"/>
  <c r="H4" i="3"/>
  <c r="H5" i="3"/>
  <c r="H6" i="3"/>
  <c r="H7" i="3"/>
  <c r="H8" i="3"/>
  <c r="H9" i="3"/>
  <c r="H10" i="3"/>
  <c r="H11" i="3"/>
  <c r="H12" i="3" s="1"/>
  <c r="H13" i="3" s="1"/>
  <c r="H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F3" i="3"/>
  <c r="F4" i="3"/>
  <c r="F5" i="3"/>
  <c r="F6" i="3"/>
  <c r="F7" i="3"/>
  <c r="F8" i="3"/>
  <c r="F9" i="3"/>
  <c r="F10" i="3"/>
  <c r="F11" i="3"/>
  <c r="F12" i="3"/>
  <c r="F13" i="3"/>
  <c r="F2" i="3"/>
  <c r="G4" i="2"/>
  <c r="G5" i="2" s="1"/>
  <c r="G6" i="2" s="1"/>
  <c r="G7" i="2" s="1"/>
  <c r="G8" i="2" s="1"/>
  <c r="G9" i="2" s="1"/>
  <c r="G10" i="2" s="1"/>
  <c r="G11" i="2" s="1"/>
  <c r="G12" i="2" s="1"/>
  <c r="G13" i="2" s="1"/>
  <c r="G3" i="2"/>
  <c r="G2" i="2"/>
  <c r="F5" i="2"/>
  <c r="F6" i="2"/>
  <c r="F7" i="2"/>
  <c r="F8" i="2"/>
  <c r="F9" i="2"/>
  <c r="F10" i="2"/>
  <c r="F11" i="2"/>
  <c r="F12" i="2"/>
  <c r="F13" i="2"/>
  <c r="F3" i="2"/>
  <c r="F4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F4" i="1"/>
  <c r="F5" i="1" s="1"/>
  <c r="F6" i="1" s="1"/>
  <c r="F7" i="1" s="1"/>
  <c r="F8" i="1" s="1"/>
  <c r="F9" i="1" s="1"/>
  <c r="F10" i="1" s="1"/>
  <c r="F11" i="1" s="1"/>
  <c r="F12" i="1" s="1"/>
  <c r="F13" i="1" s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G4" i="8"/>
  <c r="G5" i="8" s="1"/>
  <c r="G6" i="8" s="1"/>
  <c r="G7" i="8" s="1"/>
  <c r="G8" i="8" s="1"/>
  <c r="G9" i="8" s="1"/>
  <c r="G10" i="8" s="1"/>
  <c r="G11" i="8" s="1"/>
  <c r="G12" i="8" s="1"/>
  <c r="G13" i="8" s="1"/>
  <c r="G3" i="8"/>
  <c r="G2" i="8"/>
  <c r="F13" i="8"/>
  <c r="F3" i="8"/>
  <c r="F4" i="8"/>
  <c r="F5" i="8"/>
  <c r="F6" i="8"/>
  <c r="F7" i="8"/>
  <c r="F8" i="8"/>
  <c r="F9" i="8"/>
  <c r="F10" i="8"/>
  <c r="F11" i="8"/>
  <c r="F12" i="8"/>
  <c r="F2" i="8"/>
  <c r="E3" i="8"/>
  <c r="E4" i="8"/>
  <c r="E5" i="8"/>
  <c r="E6" i="8"/>
  <c r="E7" i="8"/>
  <c r="E8" i="8"/>
  <c r="E9" i="8"/>
  <c r="E10" i="8"/>
  <c r="E11" i="8"/>
  <c r="E12" i="8"/>
  <c r="E13" i="8"/>
  <c r="E2" i="8"/>
  <c r="F4" i="7"/>
  <c r="F5" i="7"/>
  <c r="F6" i="7"/>
  <c r="F7" i="7"/>
  <c r="F8" i="7"/>
  <c r="F9" i="7"/>
  <c r="F10" i="7"/>
  <c r="F11" i="7"/>
  <c r="F12" i="7" s="1"/>
  <c r="F13" i="7" s="1"/>
  <c r="F3" i="7"/>
  <c r="E10" i="7"/>
  <c r="E11" i="7"/>
  <c r="E12" i="7"/>
  <c r="E13" i="7"/>
  <c r="E3" i="7"/>
  <c r="E4" i="7"/>
  <c r="E5" i="7"/>
  <c r="E6" i="7"/>
  <c r="E7" i="7"/>
  <c r="E8" i="7"/>
  <c r="E9" i="7"/>
  <c r="E2" i="7"/>
  <c r="F2" i="7" s="1"/>
  <c r="F4" i="10"/>
  <c r="F5" i="10" s="1"/>
  <c r="F6" i="10" s="1"/>
  <c r="F7" i="10" s="1"/>
  <c r="F8" i="10" s="1"/>
  <c r="F9" i="10" s="1"/>
  <c r="F10" i="10" s="1"/>
  <c r="F11" i="10" s="1"/>
  <c r="F12" i="10" s="1"/>
  <c r="F13" i="10" s="1"/>
  <c r="F3" i="10"/>
  <c r="F2" i="10"/>
  <c r="E3" i="10"/>
  <c r="E4" i="10"/>
  <c r="E5" i="10"/>
  <c r="E6" i="10"/>
  <c r="E7" i="10"/>
  <c r="E8" i="10"/>
  <c r="E9" i="10"/>
  <c r="E10" i="10"/>
  <c r="E11" i="10"/>
  <c r="E12" i="10"/>
  <c r="E13" i="10"/>
  <c r="E2" i="10"/>
  <c r="F4" i="9"/>
  <c r="F5" i="9" s="1"/>
  <c r="F6" i="9" s="1"/>
  <c r="F7" i="9" s="1"/>
  <c r="F8" i="9" s="1"/>
  <c r="F9" i="9" s="1"/>
  <c r="F10" i="9" s="1"/>
  <c r="F11" i="9" s="1"/>
  <c r="F12" i="9" s="1"/>
  <c r="F13" i="9" s="1"/>
  <c r="F3" i="9"/>
  <c r="F2" i="9"/>
  <c r="F2" i="6"/>
  <c r="E3" i="6"/>
  <c r="E4" i="6"/>
  <c r="E5" i="6"/>
  <c r="E6" i="6"/>
  <c r="E7" i="6"/>
  <c r="E8" i="6"/>
  <c r="E9" i="6"/>
  <c r="E10" i="6"/>
  <c r="E11" i="6"/>
  <c r="E12" i="6"/>
  <c r="E13" i="6"/>
  <c r="E2" i="6"/>
  <c r="E3" i="9"/>
  <c r="E4" i="9"/>
  <c r="E5" i="9"/>
  <c r="E6" i="9"/>
  <c r="E7" i="9"/>
  <c r="E8" i="9"/>
  <c r="E9" i="9"/>
  <c r="E10" i="9"/>
  <c r="E11" i="9"/>
  <c r="E12" i="9"/>
  <c r="E13" i="9"/>
  <c r="E2" i="9"/>
  <c r="F3" i="6"/>
  <c r="F4" i="6" s="1"/>
  <c r="F5" i="6" s="1"/>
  <c r="F6" i="6" s="1"/>
  <c r="F7" i="6" s="1"/>
  <c r="F8" i="6" s="1"/>
  <c r="F9" i="6" l="1"/>
  <c r="F10" i="6" s="1"/>
  <c r="F11" i="6" s="1"/>
  <c r="F12" i="6" s="1"/>
  <c r="F13" i="6" s="1"/>
</calcChain>
</file>

<file path=xl/sharedStrings.xml><?xml version="1.0" encoding="utf-8"?>
<sst xmlns="http://schemas.openxmlformats.org/spreadsheetml/2006/main" count="116" uniqueCount="41">
  <si>
    <t>Year</t>
    <phoneticPr fontId="1" type="noConversion"/>
  </si>
  <si>
    <t>Start of Year Price</t>
    <phoneticPr fontId="1" type="noConversion"/>
  </si>
  <si>
    <t>End of Year Price</t>
    <phoneticPr fontId="1" type="noConversion"/>
  </si>
  <si>
    <t>Income Yield %</t>
    <phoneticPr fontId="1" type="noConversion"/>
  </si>
  <si>
    <t>Total Return %</t>
    <phoneticPr fontId="1" type="noConversion"/>
  </si>
  <si>
    <t>Cumulative $</t>
    <phoneticPr fontId="1" type="noConversion"/>
  </si>
  <si>
    <t>Notes</t>
  </si>
  <si>
    <t>Dividend yield assumed at 4.5%, based on long-run ASX 200 average (S&amp;P, 2023).</t>
  </si>
  <si>
    <t>Initial investment assumed at $1,000 in line with assignment brief</t>
  </si>
  <si>
    <t>Income yield is 0% as gold is a non-yielding asset</t>
  </si>
  <si>
    <t>Iron ore is a non-income-producing commodity; income yield assumed to be 0%</t>
  </si>
  <si>
    <t>Income yield is approximated using the 10-year bond yield at the start of each year. The 'Close' value reflects the market rate an investor would receive.</t>
  </si>
  <si>
    <t>Total return approximated by income yield, assuming no capital gain/loss for government bonds</t>
  </si>
  <si>
    <t>Divdends</t>
  </si>
  <si>
    <t>Income yield is assumed at 3.5% based on typical gross rental yields for residential property in major Australian cities</t>
  </si>
  <si>
    <t>Income yield is added because property investors earn returns from both price growth and rental income</t>
  </si>
  <si>
    <t>Dividend was estimated by dividing reported dividends paid by the number of shares outstanding, using Yahoo Finance data</t>
  </si>
  <si>
    <t>Divdends(the first half year)</t>
  </si>
  <si>
    <t>Divdends(the second half year)</t>
  </si>
  <si>
    <t>For 2020–2024, dividends were estimated at 0.15 AUD/year based on consistent semi-annual distributions</t>
  </si>
  <si>
    <t>Asset Name</t>
  </si>
  <si>
    <t>Avg Return</t>
  </si>
  <si>
    <t>Std Dev</t>
  </si>
  <si>
    <t>Sharpe Ratio</t>
  </si>
  <si>
    <t>CAGR</t>
  </si>
  <si>
    <t>Category</t>
  </si>
  <si>
    <t>Residential Property</t>
  </si>
  <si>
    <t>Commercial Office</t>
  </si>
  <si>
    <t>Inductrial Warehouse</t>
  </si>
  <si>
    <t>Retail Property</t>
  </si>
  <si>
    <t>Logistics Facilities</t>
  </si>
  <si>
    <t>ASX 200</t>
  </si>
  <si>
    <t>Government Bonds</t>
  </si>
  <si>
    <t>Corporate Bonds</t>
  </si>
  <si>
    <t>Gold (AUD)</t>
  </si>
  <si>
    <t>Iron Ore (AUD)</t>
  </si>
  <si>
    <t>Real Estate</t>
  </si>
  <si>
    <t>Other (Equity)</t>
  </si>
  <si>
    <t>Other (Fixed Income)</t>
  </si>
  <si>
    <t>Other (Commodity)</t>
  </si>
  <si>
    <t>The 2.5% is the average RBA cash rate over the years — used as the risk-free rate for Sharpe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</si>
</sst>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2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9" fontId="0" fillId="0" borderId="0" xfId="1" applyFont="1" applyAlignment="1">
      <alignment vertical="center"/>
    </xf>
    <xf numFmtId="10" fontId="0" fillId="0" borderId="0" xfId="0" applyNumberForma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539C-BE16-734E-BEA7-FF01E63DDC82}">
  <dimension ref="A1:G13"/>
  <sheetViews>
    <sheetView zoomScale="158" workbookViewId="0">
      <selection activeCell="G3" sqref="G3"/>
    </sheetView>
  </sheetViews>
  <sheetFormatPr baseColWidth="10" defaultRowHeight="16" x14ac:dyDescent="0.2"/>
  <cols>
    <col min="2" max="2" width="16.5" customWidth="1"/>
    <col min="3" max="3" width="15.5" customWidth="1"/>
    <col min="4" max="4" width="15.83203125" customWidth="1"/>
    <col min="5" max="5" width="13.83203125" customWidth="1"/>
    <col min="6" max="6" width="12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2013</v>
      </c>
      <c r="B2">
        <v>100</v>
      </c>
      <c r="C2">
        <v>103.5</v>
      </c>
      <c r="D2" s="4">
        <v>3.5000000000000003E-2</v>
      </c>
      <c r="E2" s="4">
        <f>(C2-B2)/B2+D2</f>
        <v>7.0000000000000007E-2</v>
      </c>
      <c r="F2">
        <f>1000*(1+E2)</f>
        <v>1070</v>
      </c>
      <c r="G2" t="s">
        <v>14</v>
      </c>
    </row>
    <row r="3" spans="1:7" x14ac:dyDescent="0.2">
      <c r="A3">
        <v>2014</v>
      </c>
      <c r="B3">
        <v>103.5</v>
      </c>
      <c r="C3">
        <v>107</v>
      </c>
      <c r="D3" s="4">
        <v>3.5000000000000003E-2</v>
      </c>
      <c r="E3" s="4">
        <f t="shared" ref="E3:E13" si="0">(C3-B3)/B3+D3</f>
        <v>6.8816425120772948E-2</v>
      </c>
      <c r="F3">
        <f>F2*(1+E3)</f>
        <v>1143.6335748792271</v>
      </c>
      <c r="G3" t="s">
        <v>15</v>
      </c>
    </row>
    <row r="4" spans="1:7" x14ac:dyDescent="0.2">
      <c r="A4">
        <v>2015</v>
      </c>
      <c r="B4">
        <v>107</v>
      </c>
      <c r="C4">
        <v>110.5</v>
      </c>
      <c r="D4" s="4">
        <v>3.5000000000000003E-2</v>
      </c>
      <c r="E4" s="4">
        <f t="shared" si="0"/>
        <v>6.7710280373831783E-2</v>
      </c>
      <c r="F4">
        <f t="shared" ref="F4:F13" si="1">F3*(1+E4)</f>
        <v>1221.0693248792272</v>
      </c>
    </row>
    <row r="5" spans="1:7" x14ac:dyDescent="0.2">
      <c r="A5">
        <v>2016</v>
      </c>
      <c r="B5">
        <v>110.5</v>
      </c>
      <c r="C5">
        <v>114</v>
      </c>
      <c r="D5" s="4">
        <v>3.5000000000000003E-2</v>
      </c>
      <c r="E5" s="4">
        <f t="shared" si="0"/>
        <v>6.6674208144796382E-2</v>
      </c>
      <c r="F5">
        <f t="shared" si="1"/>
        <v>1302.4831552054509</v>
      </c>
    </row>
    <row r="6" spans="1:7" x14ac:dyDescent="0.2">
      <c r="A6">
        <v>2017</v>
      </c>
      <c r="B6">
        <v>114</v>
      </c>
      <c r="C6">
        <v>118</v>
      </c>
      <c r="D6" s="4">
        <v>3.5000000000000003E-2</v>
      </c>
      <c r="E6" s="4">
        <f t="shared" si="0"/>
        <v>7.0087719298245615E-2</v>
      </c>
      <c r="F6">
        <f t="shared" si="1"/>
        <v>1393.7712289781839</v>
      </c>
    </row>
    <row r="7" spans="1:7" x14ac:dyDescent="0.2">
      <c r="A7">
        <v>2018</v>
      </c>
      <c r="B7">
        <v>118</v>
      </c>
      <c r="C7">
        <v>120</v>
      </c>
      <c r="D7" s="4">
        <v>3.5000000000000003E-2</v>
      </c>
      <c r="E7" s="4">
        <f t="shared" si="0"/>
        <v>5.1949152542372881E-2</v>
      </c>
      <c r="F7">
        <f t="shared" si="1"/>
        <v>1466.1764631615422</v>
      </c>
    </row>
    <row r="8" spans="1:7" x14ac:dyDescent="0.2">
      <c r="A8">
        <v>2019</v>
      </c>
      <c r="B8">
        <v>120</v>
      </c>
      <c r="C8">
        <v>124</v>
      </c>
      <c r="D8" s="4">
        <v>3.5000000000000003E-2</v>
      </c>
      <c r="E8" s="4">
        <f t="shared" si="0"/>
        <v>6.8333333333333329E-2</v>
      </c>
      <c r="F8">
        <f t="shared" si="1"/>
        <v>1566.3651881442477</v>
      </c>
    </row>
    <row r="9" spans="1:7" x14ac:dyDescent="0.2">
      <c r="A9">
        <v>2020</v>
      </c>
      <c r="B9">
        <v>124</v>
      </c>
      <c r="C9">
        <v>128.5</v>
      </c>
      <c r="D9" s="4">
        <v>3.5000000000000003E-2</v>
      </c>
      <c r="E9" s="4">
        <f t="shared" si="0"/>
        <v>7.129032258064516E-2</v>
      </c>
      <c r="F9">
        <f t="shared" si="1"/>
        <v>1678.0318676861441</v>
      </c>
    </row>
    <row r="10" spans="1:7" x14ac:dyDescent="0.2">
      <c r="A10">
        <v>2021</v>
      </c>
      <c r="B10">
        <v>128.5</v>
      </c>
      <c r="C10">
        <v>135</v>
      </c>
      <c r="D10" s="4">
        <v>3.5000000000000003E-2</v>
      </c>
      <c r="E10" s="4">
        <f t="shared" si="0"/>
        <v>8.5583657587548642E-2</v>
      </c>
      <c r="F10">
        <f t="shared" si="1"/>
        <v>1821.6439724711897</v>
      </c>
    </row>
    <row r="11" spans="1:7" x14ac:dyDescent="0.2">
      <c r="A11">
        <v>2022</v>
      </c>
      <c r="B11">
        <v>135</v>
      </c>
      <c r="C11">
        <v>138</v>
      </c>
      <c r="D11" s="4">
        <v>3.5000000000000003E-2</v>
      </c>
      <c r="E11" s="4">
        <f t="shared" si="0"/>
        <v>5.722222222222223E-2</v>
      </c>
      <c r="F11">
        <f t="shared" si="1"/>
        <v>1925.8824886737079</v>
      </c>
    </row>
    <row r="12" spans="1:7" x14ac:dyDescent="0.2">
      <c r="A12">
        <v>2023</v>
      </c>
      <c r="B12">
        <v>138</v>
      </c>
      <c r="C12">
        <v>142.5</v>
      </c>
      <c r="D12" s="4">
        <v>3.5000000000000003E-2</v>
      </c>
      <c r="E12" s="4">
        <f t="shared" si="0"/>
        <v>6.7608695652173922E-2</v>
      </c>
      <c r="F12">
        <f t="shared" si="1"/>
        <v>2056.0888917123002</v>
      </c>
    </row>
    <row r="13" spans="1:7" x14ac:dyDescent="0.2">
      <c r="A13">
        <v>2024</v>
      </c>
      <c r="B13">
        <v>142.5</v>
      </c>
      <c r="C13">
        <v>147</v>
      </c>
      <c r="D13" s="4">
        <v>3.5000000000000003E-2</v>
      </c>
      <c r="E13" s="4">
        <f t="shared" si="0"/>
        <v>6.6578947368421057E-2</v>
      </c>
      <c r="F13">
        <f t="shared" si="1"/>
        <v>2192.9811258184086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0496-987B-824A-84CB-2DEA6AF0AB22}">
  <dimension ref="A1:H13"/>
  <sheetViews>
    <sheetView zoomScale="200" workbookViewId="0">
      <selection activeCell="F26" sqref="F2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2013</v>
      </c>
      <c r="B2">
        <v>7.5</v>
      </c>
      <c r="C2">
        <v>7.8</v>
      </c>
      <c r="D2">
        <v>0.37</v>
      </c>
      <c r="E2" s="5">
        <f>D2/B2</f>
        <v>4.9333333333333333E-2</v>
      </c>
      <c r="F2" s="4">
        <f>(C2-B2+D2)/B2</f>
        <v>8.9333333333333306E-2</v>
      </c>
      <c r="G2">
        <f>1000*(1+F2)</f>
        <v>1089.3333333333333</v>
      </c>
      <c r="H2" t="s">
        <v>16</v>
      </c>
    </row>
    <row r="3" spans="1:8" x14ac:dyDescent="0.2">
      <c r="A3">
        <v>2014</v>
      </c>
      <c r="B3">
        <v>7.8</v>
      </c>
      <c r="C3">
        <v>8.1</v>
      </c>
      <c r="D3">
        <v>0.39</v>
      </c>
      <c r="E3" s="5">
        <f t="shared" ref="E3:E13" si="0">D3/B3</f>
        <v>0.05</v>
      </c>
      <c r="F3" s="4">
        <f t="shared" ref="F3:F13" si="1">(C3-B3+D3)/B3</f>
        <v>8.8461538461538439E-2</v>
      </c>
      <c r="G3">
        <f>G2*(1+F3)</f>
        <v>1185.6974358974358</v>
      </c>
    </row>
    <row r="4" spans="1:8" x14ac:dyDescent="0.2">
      <c r="A4">
        <v>2015</v>
      </c>
      <c r="B4">
        <v>8.1</v>
      </c>
      <c r="C4">
        <v>8.4</v>
      </c>
      <c r="D4">
        <v>0.44</v>
      </c>
      <c r="E4" s="5">
        <f t="shared" si="0"/>
        <v>5.4320987654320987E-2</v>
      </c>
      <c r="F4" s="4">
        <f t="shared" si="1"/>
        <v>9.1358024691358106E-2</v>
      </c>
      <c r="G4">
        <f t="shared" ref="G4:G13" si="2">G3*(1+F4)</f>
        <v>1294.0204115226336</v>
      </c>
    </row>
    <row r="5" spans="1:8" x14ac:dyDescent="0.2">
      <c r="A5">
        <v>2016</v>
      </c>
      <c r="B5">
        <v>8.4</v>
      </c>
      <c r="C5">
        <v>8.6999999999999993</v>
      </c>
      <c r="D5">
        <v>0.42</v>
      </c>
      <c r="E5" s="5">
        <f t="shared" si="0"/>
        <v>4.9999999999999996E-2</v>
      </c>
      <c r="F5" s="4">
        <f t="shared" si="1"/>
        <v>8.5714285714285576E-2</v>
      </c>
      <c r="G5">
        <f t="shared" si="2"/>
        <v>1404.936446796002</v>
      </c>
    </row>
    <row r="6" spans="1:8" x14ac:dyDescent="0.2">
      <c r="A6">
        <v>2017</v>
      </c>
      <c r="B6">
        <v>8.6999999999999993</v>
      </c>
      <c r="C6">
        <v>9</v>
      </c>
      <c r="D6">
        <v>0.47</v>
      </c>
      <c r="E6" s="5">
        <f t="shared" si="0"/>
        <v>5.4022988505747126E-2</v>
      </c>
      <c r="F6" s="4">
        <f t="shared" si="1"/>
        <v>8.8505747126436871E-2</v>
      </c>
      <c r="G6">
        <f t="shared" si="2"/>
        <v>1529.2813966848435</v>
      </c>
    </row>
    <row r="7" spans="1:8" x14ac:dyDescent="0.2">
      <c r="A7">
        <v>2018</v>
      </c>
      <c r="B7">
        <v>9</v>
      </c>
      <c r="C7">
        <v>9.3000000000000007</v>
      </c>
      <c r="D7">
        <v>0.51</v>
      </c>
      <c r="E7" s="5">
        <f t="shared" si="0"/>
        <v>5.6666666666666671E-2</v>
      </c>
      <c r="F7" s="4">
        <f t="shared" si="1"/>
        <v>9.000000000000008E-2</v>
      </c>
      <c r="G7">
        <f t="shared" si="2"/>
        <v>1666.9167223864795</v>
      </c>
    </row>
    <row r="8" spans="1:8" x14ac:dyDescent="0.2">
      <c r="A8">
        <v>2019</v>
      </c>
      <c r="B8">
        <v>9.3000000000000007</v>
      </c>
      <c r="C8">
        <v>9.6</v>
      </c>
      <c r="D8">
        <v>0.5</v>
      </c>
      <c r="E8" s="5">
        <f t="shared" si="0"/>
        <v>5.3763440860215048E-2</v>
      </c>
      <c r="F8" s="4">
        <f t="shared" si="1"/>
        <v>8.6021505376343968E-2</v>
      </c>
      <c r="G8">
        <f t="shared" si="2"/>
        <v>1810.3074081831658</v>
      </c>
    </row>
    <row r="9" spans="1:8" x14ac:dyDescent="0.2">
      <c r="A9">
        <v>2020</v>
      </c>
      <c r="B9">
        <v>9.6</v>
      </c>
      <c r="C9">
        <v>9.9</v>
      </c>
      <c r="D9">
        <v>0.52</v>
      </c>
      <c r="E9" s="5">
        <f t="shared" si="0"/>
        <v>5.4166666666666669E-2</v>
      </c>
      <c r="F9" s="4">
        <f t="shared" si="1"/>
        <v>8.5416666666666752E-2</v>
      </c>
      <c r="G9">
        <f t="shared" si="2"/>
        <v>1964.9378326321446</v>
      </c>
    </row>
    <row r="10" spans="1:8" x14ac:dyDescent="0.2">
      <c r="A10">
        <v>2021</v>
      </c>
      <c r="B10">
        <v>9.9</v>
      </c>
      <c r="C10">
        <v>10.199999999999999</v>
      </c>
      <c r="D10">
        <v>0.51</v>
      </c>
      <c r="E10" s="5">
        <f t="shared" si="0"/>
        <v>5.1515151515151514E-2</v>
      </c>
      <c r="F10" s="4">
        <f t="shared" si="1"/>
        <v>8.1818181818181707E-2</v>
      </c>
      <c r="G10">
        <f t="shared" si="2"/>
        <v>2125.7054734838653</v>
      </c>
    </row>
    <row r="11" spans="1:8" x14ac:dyDescent="0.2">
      <c r="A11">
        <v>2022</v>
      </c>
      <c r="B11">
        <v>10.199999999999999</v>
      </c>
      <c r="C11">
        <v>10.5</v>
      </c>
      <c r="D11">
        <v>0.53</v>
      </c>
      <c r="E11" s="5">
        <f t="shared" si="0"/>
        <v>5.19607843137255E-2</v>
      </c>
      <c r="F11" s="4">
        <f t="shared" si="1"/>
        <v>8.1372549019607915E-2</v>
      </c>
      <c r="G11">
        <f t="shared" si="2"/>
        <v>2298.6795463261801</v>
      </c>
    </row>
    <row r="12" spans="1:8" x14ac:dyDescent="0.2">
      <c r="A12">
        <v>2023</v>
      </c>
      <c r="B12">
        <v>10.5</v>
      </c>
      <c r="C12">
        <v>10.8</v>
      </c>
      <c r="D12">
        <v>0.5</v>
      </c>
      <c r="E12" s="5">
        <f t="shared" si="0"/>
        <v>4.7619047619047616E-2</v>
      </c>
      <c r="F12" s="4">
        <f t="shared" si="1"/>
        <v>7.6190476190476253E-2</v>
      </c>
      <c r="G12">
        <f t="shared" si="2"/>
        <v>2473.81703557008</v>
      </c>
    </row>
    <row r="13" spans="1:8" x14ac:dyDescent="0.2">
      <c r="A13">
        <v>2024</v>
      </c>
      <c r="B13">
        <v>10.8</v>
      </c>
      <c r="C13">
        <v>11.1</v>
      </c>
      <c r="D13">
        <v>0.48</v>
      </c>
      <c r="E13" s="5">
        <f t="shared" si="0"/>
        <v>4.4444444444444439E-2</v>
      </c>
      <c r="F13" s="4">
        <f t="shared" si="1"/>
        <v>7.2222222222222118E-2</v>
      </c>
      <c r="G13">
        <f t="shared" si="2"/>
        <v>2652.4815992501412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AF2D-761C-CC49-8379-AC511DCF4076}">
  <dimension ref="A1:I13"/>
  <sheetViews>
    <sheetView zoomScale="113" workbookViewId="0">
      <selection activeCell="I1" sqref="A1:I1"/>
    </sheetView>
  </sheetViews>
  <sheetFormatPr baseColWidth="10" defaultRowHeight="16" x14ac:dyDescent="0.2"/>
  <cols>
    <col min="4" max="4" width="25" customWidth="1"/>
    <col min="5" max="5" width="29.5" customWidth="1"/>
    <col min="6" max="6" width="14" customWidth="1"/>
    <col min="7" max="7" width="12.83203125" customWidth="1"/>
    <col min="8" max="8" width="1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2013</v>
      </c>
      <c r="B2">
        <v>4.42</v>
      </c>
      <c r="C2">
        <v>4.79</v>
      </c>
      <c r="D2">
        <v>9.7000000000000003E-2</v>
      </c>
      <c r="E2">
        <v>0.10349999999999999</v>
      </c>
      <c r="F2" s="4">
        <f>(D2+E2)/B2</f>
        <v>4.536199095022625E-2</v>
      </c>
      <c r="G2" s="4">
        <f>(C2-B2+D2+E2)/B2</f>
        <v>0.12907239819004529</v>
      </c>
      <c r="H2">
        <f>1000*(1+G2)</f>
        <v>1129.0723981900453</v>
      </c>
    </row>
    <row r="3" spans="1:9" x14ac:dyDescent="0.2">
      <c r="A3">
        <v>2014</v>
      </c>
      <c r="B3">
        <v>4.78</v>
      </c>
      <c r="C3">
        <v>6.03</v>
      </c>
      <c r="D3">
        <v>0.10349999999999999</v>
      </c>
      <c r="E3">
        <v>0.111</v>
      </c>
      <c r="F3" s="4">
        <f t="shared" ref="F3:F13" si="0">(D3+E3)/B3</f>
        <v>4.4874476987447696E-2</v>
      </c>
      <c r="G3" s="4">
        <f t="shared" ref="G3:G13" si="1">(C3-B3+D3+E3)/B3</f>
        <v>0.30638075313807528</v>
      </c>
      <c r="H3">
        <f>H2*(1+G3)</f>
        <v>1474.9984498949243</v>
      </c>
    </row>
    <row r="4" spans="1:9" x14ac:dyDescent="0.2">
      <c r="A4">
        <v>2015</v>
      </c>
      <c r="B4">
        <v>5.8</v>
      </c>
      <c r="C4">
        <v>6.42</v>
      </c>
      <c r="D4">
        <v>0.111</v>
      </c>
      <c r="E4">
        <v>0.11899999999999999</v>
      </c>
      <c r="F4" s="4">
        <f t="shared" si="0"/>
        <v>3.9655172413793099E-2</v>
      </c>
      <c r="G4" s="4">
        <f t="shared" si="1"/>
        <v>0.14655172413793105</v>
      </c>
      <c r="H4">
        <f t="shared" ref="H4:H13" si="2">H3*(1+G4)</f>
        <v>1691.1620158278013</v>
      </c>
    </row>
    <row r="5" spans="1:9" x14ac:dyDescent="0.2">
      <c r="A5">
        <v>2016</v>
      </c>
      <c r="B5">
        <v>6.28</v>
      </c>
      <c r="C5">
        <v>7.08</v>
      </c>
      <c r="D5">
        <v>0.121</v>
      </c>
      <c r="E5">
        <v>0.127</v>
      </c>
      <c r="F5" s="4">
        <f t="shared" si="0"/>
        <v>3.949044585987261E-2</v>
      </c>
      <c r="G5" s="4">
        <f t="shared" si="1"/>
        <v>0.16687898089171971</v>
      </c>
      <c r="H5">
        <f t="shared" si="2"/>
        <v>1973.381409551931</v>
      </c>
    </row>
    <row r="6" spans="1:9" x14ac:dyDescent="0.2">
      <c r="A6">
        <v>2017</v>
      </c>
      <c r="B6">
        <v>7.21</v>
      </c>
      <c r="C6">
        <v>8.56</v>
      </c>
      <c r="D6">
        <v>0.13200000000000001</v>
      </c>
      <c r="E6">
        <v>0.13750000000000001</v>
      </c>
      <c r="F6" s="4">
        <f t="shared" si="0"/>
        <v>3.7378640776699029E-2</v>
      </c>
      <c r="G6" s="4">
        <f t="shared" si="1"/>
        <v>0.22461858529819703</v>
      </c>
      <c r="H6">
        <f t="shared" si="2"/>
        <v>2416.6395500192475</v>
      </c>
    </row>
    <row r="7" spans="1:9" x14ac:dyDescent="0.2">
      <c r="A7">
        <v>2018</v>
      </c>
      <c r="B7">
        <v>8.44</v>
      </c>
      <c r="C7">
        <v>9.64</v>
      </c>
      <c r="D7">
        <v>0.14249999999999999</v>
      </c>
      <c r="E7">
        <v>0.15</v>
      </c>
      <c r="F7" s="4">
        <f t="shared" si="0"/>
        <v>3.46563981042654E-2</v>
      </c>
      <c r="G7" s="4">
        <f t="shared" si="1"/>
        <v>0.1768364928909954</v>
      </c>
      <c r="H7">
        <f t="shared" si="2"/>
        <v>2843.9896126263243</v>
      </c>
      <c r="I7" t="s">
        <v>19</v>
      </c>
    </row>
    <row r="8" spans="1:9" x14ac:dyDescent="0.2">
      <c r="A8">
        <v>2019</v>
      </c>
      <c r="B8">
        <v>9.65</v>
      </c>
      <c r="C8">
        <v>13.65</v>
      </c>
      <c r="D8">
        <v>0.15</v>
      </c>
      <c r="E8">
        <v>0.15</v>
      </c>
      <c r="F8" s="4">
        <f t="shared" si="0"/>
        <v>3.1088082901554404E-2</v>
      </c>
      <c r="G8" s="4">
        <f t="shared" si="1"/>
        <v>0.44559585492227988</v>
      </c>
      <c r="H8">
        <f t="shared" si="2"/>
        <v>4111.259595454635</v>
      </c>
    </row>
    <row r="9" spans="1:9" x14ac:dyDescent="0.2">
      <c r="A9">
        <v>2020</v>
      </c>
      <c r="B9">
        <v>13.44</v>
      </c>
      <c r="C9">
        <v>19.350000000000001</v>
      </c>
      <c r="D9">
        <v>0.15</v>
      </c>
      <c r="E9">
        <v>0.15</v>
      </c>
      <c r="F9" s="4">
        <f t="shared" si="0"/>
        <v>2.2321428571428572E-2</v>
      </c>
      <c r="G9" s="4">
        <f t="shared" si="1"/>
        <v>0.46205357142857162</v>
      </c>
      <c r="H9">
        <f t="shared" si="2"/>
        <v>6010.8817746044333</v>
      </c>
    </row>
    <row r="10" spans="1:9" x14ac:dyDescent="0.2">
      <c r="A10">
        <v>2021</v>
      </c>
      <c r="B10">
        <v>19.36</v>
      </c>
      <c r="C10">
        <v>26.96</v>
      </c>
      <c r="D10">
        <v>0.15</v>
      </c>
      <c r="E10">
        <v>0.15</v>
      </c>
      <c r="F10" s="4">
        <f t="shared" si="0"/>
        <v>1.5495867768595042E-2</v>
      </c>
      <c r="G10" s="4">
        <f t="shared" si="1"/>
        <v>0.40805785123966953</v>
      </c>
      <c r="H10">
        <f t="shared" si="2"/>
        <v>8463.6692756052107</v>
      </c>
    </row>
    <row r="11" spans="1:9" x14ac:dyDescent="0.2">
      <c r="A11">
        <v>2022</v>
      </c>
      <c r="B11">
        <v>26.76</v>
      </c>
      <c r="C11">
        <v>17.37</v>
      </c>
      <c r="D11">
        <v>0.15</v>
      </c>
      <c r="E11">
        <v>0.15</v>
      </c>
      <c r="F11" s="4">
        <f t="shared" si="0"/>
        <v>1.1210762331838564E-2</v>
      </c>
      <c r="G11" s="4">
        <f t="shared" si="1"/>
        <v>-0.3396860986547085</v>
      </c>
      <c r="H11">
        <f t="shared" si="2"/>
        <v>5588.6784790711536</v>
      </c>
    </row>
    <row r="12" spans="1:9" x14ac:dyDescent="0.2">
      <c r="A12">
        <v>2023</v>
      </c>
      <c r="B12">
        <v>17.309999999999999</v>
      </c>
      <c r="C12">
        <v>25.3</v>
      </c>
      <c r="D12">
        <v>0.15</v>
      </c>
      <c r="E12">
        <v>0.15</v>
      </c>
      <c r="F12" s="4">
        <f t="shared" si="0"/>
        <v>1.7331022530329289E-2</v>
      </c>
      <c r="G12" s="4">
        <f t="shared" si="1"/>
        <v>0.47891392258809956</v>
      </c>
      <c r="H12">
        <f t="shared" si="2"/>
        <v>8265.1744115668134</v>
      </c>
    </row>
    <row r="13" spans="1:9" x14ac:dyDescent="0.2">
      <c r="A13">
        <v>2024</v>
      </c>
      <c r="B13">
        <v>25.11</v>
      </c>
      <c r="C13">
        <v>36.369999999999997</v>
      </c>
      <c r="D13">
        <v>0.15</v>
      </c>
      <c r="E13">
        <v>0.15</v>
      </c>
      <c r="F13" s="4">
        <f t="shared" si="0"/>
        <v>1.1947431302270013E-2</v>
      </c>
      <c r="G13" s="4">
        <f t="shared" si="1"/>
        <v>0.46037435284747108</v>
      </c>
      <c r="H13">
        <f t="shared" si="2"/>
        <v>12070.248732463362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8D17-ABC9-D44C-98A1-7E41FC41BD99}">
  <dimension ref="A1:I13"/>
  <sheetViews>
    <sheetView zoomScale="164" workbookViewId="0">
      <selection sqref="A1:I1"/>
    </sheetView>
  </sheetViews>
  <sheetFormatPr baseColWidth="10" defaultRowHeight="16" x14ac:dyDescent="0.2"/>
  <cols>
    <col min="7" max="7" width="13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2013</v>
      </c>
      <c r="B2">
        <v>3.19</v>
      </c>
      <c r="C2">
        <v>2.97</v>
      </c>
      <c r="D2">
        <v>9.5000000000000001E-2</v>
      </c>
      <c r="E2">
        <v>9.9299999999999999E-2</v>
      </c>
      <c r="F2" s="4">
        <f>(D2+E2)/B2</f>
        <v>6.0909090909090913E-2</v>
      </c>
      <c r="G2" s="4">
        <f>(C2-B2+D2+E2)/B2</f>
        <v>-8.0564263322883238E-3</v>
      </c>
      <c r="H2">
        <f>1000*(1+G2)</f>
        <v>991.94357366771169</v>
      </c>
    </row>
    <row r="3" spans="1:9" x14ac:dyDescent="0.2">
      <c r="A3">
        <v>2014</v>
      </c>
      <c r="B3">
        <v>2.99</v>
      </c>
      <c r="C3">
        <v>3.5</v>
      </c>
      <c r="D3">
        <v>9.9299999999999999E-2</v>
      </c>
      <c r="E3">
        <v>0.10199999999999999</v>
      </c>
      <c r="F3" s="4">
        <f t="shared" ref="F3:F13" si="0">(D3+E3)/B3</f>
        <v>6.7324414715719053E-2</v>
      </c>
      <c r="G3" s="4">
        <f t="shared" ref="G3:G13" si="1">(C3-B3+D3+E3)/B3</f>
        <v>0.23789297658862865</v>
      </c>
      <c r="H3">
        <f>H2*(1+G3)</f>
        <v>1227.9199830154853</v>
      </c>
    </row>
    <row r="4" spans="1:9" x14ac:dyDescent="0.2">
      <c r="A4">
        <v>2015</v>
      </c>
      <c r="B4">
        <v>3.85</v>
      </c>
      <c r="C4">
        <v>4.1900000000000004</v>
      </c>
      <c r="D4">
        <v>0.10199999999999999</v>
      </c>
      <c r="E4">
        <v>0.1045</v>
      </c>
      <c r="F4" s="4">
        <f t="shared" si="0"/>
        <v>5.3636363636363635E-2</v>
      </c>
      <c r="G4" s="4">
        <f t="shared" si="1"/>
        <v>0.14194805194805202</v>
      </c>
      <c r="H4">
        <f t="shared" ref="H4:H13" si="2">H3*(1+G4)</f>
        <v>1402.2208325526185</v>
      </c>
    </row>
    <row r="5" spans="1:9" x14ac:dyDescent="0.2">
      <c r="A5">
        <v>2016</v>
      </c>
      <c r="B5">
        <v>4.17</v>
      </c>
      <c r="C5">
        <v>4.6399999999999997</v>
      </c>
      <c r="D5">
        <v>0.1045</v>
      </c>
      <c r="E5">
        <v>0.1065</v>
      </c>
      <c r="F5" s="4">
        <f t="shared" si="0"/>
        <v>5.0599520383693045E-2</v>
      </c>
      <c r="G5" s="4">
        <f t="shared" si="1"/>
        <v>0.16330935251798556</v>
      </c>
      <c r="H5">
        <f t="shared" si="2"/>
        <v>1631.2166088040174</v>
      </c>
    </row>
    <row r="6" spans="1:9" x14ac:dyDescent="0.2">
      <c r="A6">
        <v>2017</v>
      </c>
      <c r="B6">
        <v>4.6900000000000004</v>
      </c>
      <c r="C6">
        <v>4.1900000000000004</v>
      </c>
      <c r="D6">
        <v>0.1065</v>
      </c>
      <c r="E6">
        <v>0.1086</v>
      </c>
      <c r="F6" s="4">
        <f t="shared" si="0"/>
        <v>4.5863539445628994E-2</v>
      </c>
      <c r="G6" s="4">
        <f t="shared" si="1"/>
        <v>-6.0746268656716423E-2</v>
      </c>
      <c r="H6">
        <f t="shared" si="2"/>
        <v>1532.1262864483106</v>
      </c>
    </row>
    <row r="7" spans="1:9" x14ac:dyDescent="0.2">
      <c r="A7">
        <v>2018</v>
      </c>
      <c r="B7">
        <v>4.18</v>
      </c>
      <c r="C7">
        <v>3.9</v>
      </c>
      <c r="D7">
        <v>0.1087</v>
      </c>
      <c r="E7">
        <v>0.1108</v>
      </c>
      <c r="F7" s="4">
        <f t="shared" si="0"/>
        <v>5.2511961722488044E-2</v>
      </c>
      <c r="G7" s="4">
        <f t="shared" si="1"/>
        <v>-1.4473684210526267E-2</v>
      </c>
      <c r="H7">
        <f t="shared" si="2"/>
        <v>1509.9507744076113</v>
      </c>
    </row>
    <row r="8" spans="1:9" x14ac:dyDescent="0.2">
      <c r="A8">
        <v>2019</v>
      </c>
      <c r="B8">
        <v>3.84</v>
      </c>
      <c r="C8">
        <v>3.83</v>
      </c>
      <c r="D8">
        <v>0.1108</v>
      </c>
      <c r="E8">
        <v>0.113</v>
      </c>
      <c r="F8" s="4">
        <f t="shared" si="0"/>
        <v>5.828125E-2</v>
      </c>
      <c r="G8" s="4">
        <f t="shared" si="1"/>
        <v>5.5677083333333391E-2</v>
      </c>
      <c r="H8">
        <f t="shared" si="2"/>
        <v>1594.0204295035351</v>
      </c>
    </row>
    <row r="9" spans="1:9" x14ac:dyDescent="0.2">
      <c r="A9">
        <v>2020</v>
      </c>
      <c r="B9">
        <v>3.85</v>
      </c>
      <c r="C9">
        <v>2.78</v>
      </c>
      <c r="D9">
        <v>0.113</v>
      </c>
      <c r="E9">
        <v>0</v>
      </c>
      <c r="F9" s="4">
        <f t="shared" si="0"/>
        <v>2.9350649350649349E-2</v>
      </c>
      <c r="G9" s="4">
        <f t="shared" si="1"/>
        <v>-0.24857142857142864</v>
      </c>
      <c r="H9">
        <f t="shared" si="2"/>
        <v>1197.7924941697991</v>
      </c>
    </row>
    <row r="10" spans="1:9" x14ac:dyDescent="0.2">
      <c r="A10">
        <v>2021</v>
      </c>
      <c r="B10">
        <v>2.78</v>
      </c>
      <c r="C10">
        <v>3.16</v>
      </c>
      <c r="D10">
        <v>7.0000000000000007E-2</v>
      </c>
      <c r="E10">
        <v>7.0000000000000007E-2</v>
      </c>
      <c r="F10" s="4">
        <f t="shared" si="0"/>
        <v>5.0359712230215833E-2</v>
      </c>
      <c r="G10" s="4">
        <f t="shared" si="1"/>
        <v>0.18705035971223036</v>
      </c>
      <c r="H10">
        <f t="shared" si="2"/>
        <v>1421.8400110648695</v>
      </c>
    </row>
    <row r="11" spans="1:9" x14ac:dyDescent="0.2">
      <c r="A11">
        <v>2022</v>
      </c>
      <c r="B11">
        <v>3.25</v>
      </c>
      <c r="C11">
        <v>2.88</v>
      </c>
      <c r="D11">
        <v>7.2499999999999995E-2</v>
      </c>
      <c r="E11">
        <v>7.4999999999999997E-2</v>
      </c>
      <c r="F11" s="4">
        <f t="shared" si="0"/>
        <v>4.5384615384615384E-2</v>
      </c>
      <c r="G11" s="4">
        <f t="shared" si="1"/>
        <v>-6.846153846153849E-2</v>
      </c>
      <c r="H11">
        <f t="shared" si="2"/>
        <v>1324.4986564611977</v>
      </c>
    </row>
    <row r="12" spans="1:9" x14ac:dyDescent="0.2">
      <c r="A12">
        <v>2023</v>
      </c>
      <c r="B12">
        <v>2.88</v>
      </c>
      <c r="C12">
        <v>2.99</v>
      </c>
      <c r="D12">
        <v>8.2500000000000004E-2</v>
      </c>
      <c r="E12">
        <v>8.2500000000000004E-2</v>
      </c>
      <c r="F12" s="4">
        <f t="shared" si="0"/>
        <v>5.7291666666666671E-2</v>
      </c>
      <c r="G12" s="4">
        <f t="shared" si="1"/>
        <v>9.5486111111111244E-2</v>
      </c>
      <c r="H12">
        <f t="shared" si="2"/>
        <v>1450.9698823385691</v>
      </c>
    </row>
    <row r="13" spans="1:9" x14ac:dyDescent="0.2">
      <c r="A13">
        <v>2024</v>
      </c>
      <c r="B13">
        <v>3</v>
      </c>
      <c r="C13">
        <v>3.43</v>
      </c>
      <c r="D13">
        <v>8.3500000000000005E-2</v>
      </c>
      <c r="E13">
        <v>8.5999999999999993E-2</v>
      </c>
      <c r="F13" s="4">
        <f t="shared" si="0"/>
        <v>5.6499999999999995E-2</v>
      </c>
      <c r="G13" s="4">
        <f t="shared" si="1"/>
        <v>0.19983333333333339</v>
      </c>
      <c r="H13">
        <f t="shared" si="2"/>
        <v>1740.9220304925598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E3EE-0A45-CF4F-8BC6-311DF6AD3F77}">
  <dimension ref="A1:I13"/>
  <sheetViews>
    <sheetView zoomScale="168" workbookViewId="0">
      <selection activeCell="I13" sqref="I1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2013</v>
      </c>
      <c r="B2">
        <v>3.27</v>
      </c>
      <c r="C2">
        <v>3.65</v>
      </c>
      <c r="D2">
        <v>9.8000000000000004E-2</v>
      </c>
      <c r="E2">
        <v>0.11</v>
      </c>
      <c r="F2" s="4">
        <f>(D2+E2)/B2</f>
        <v>6.3608562691131507E-2</v>
      </c>
      <c r="G2" s="4">
        <f>(C2-B2+D2+E2)/B2</f>
        <v>0.17981651376146784</v>
      </c>
      <c r="H2">
        <f>1000*(1+G2)</f>
        <v>1179.8165137614678</v>
      </c>
    </row>
    <row r="3" spans="1:9" x14ac:dyDescent="0.2">
      <c r="A3">
        <v>2014</v>
      </c>
      <c r="B3">
        <v>3.68</v>
      </c>
      <c r="C3">
        <v>4.5199999999999996</v>
      </c>
      <c r="D3">
        <v>0.113</v>
      </c>
      <c r="E3">
        <v>0.121</v>
      </c>
      <c r="F3" s="4">
        <f t="shared" ref="F3:F13" si="0">(D3+E3)/B3</f>
        <v>6.3586956521739124E-2</v>
      </c>
      <c r="G3" s="4">
        <f t="shared" ref="G3:G13" si="1">(C3-B3+D3+E3)/B3</f>
        <v>0.29184782608695636</v>
      </c>
      <c r="H3">
        <f>H2*(1+G3)</f>
        <v>1524.1433984842438</v>
      </c>
    </row>
    <row r="4" spans="1:9" x14ac:dyDescent="0.2">
      <c r="A4">
        <v>2015</v>
      </c>
      <c r="B4">
        <v>4.57</v>
      </c>
      <c r="C4">
        <v>4.54</v>
      </c>
      <c r="D4">
        <v>0.121</v>
      </c>
      <c r="E4">
        <v>0.13300000000000001</v>
      </c>
      <c r="F4" s="4">
        <f t="shared" si="0"/>
        <v>5.5579868708971553E-2</v>
      </c>
      <c r="G4" s="4">
        <f t="shared" si="1"/>
        <v>4.9015317286652024E-2</v>
      </c>
      <c r="H4">
        <f t="shared" ref="H4:H13" si="2">H3*(1+G4)</f>
        <v>1598.8497707513052</v>
      </c>
    </row>
    <row r="5" spans="1:9" x14ac:dyDescent="0.2">
      <c r="A5">
        <v>2016</v>
      </c>
      <c r="B5">
        <v>4.51</v>
      </c>
      <c r="C5">
        <v>4.74</v>
      </c>
      <c r="D5">
        <v>0.13600000000000001</v>
      </c>
      <c r="E5">
        <v>0.14399999999999999</v>
      </c>
      <c r="F5" s="4">
        <f t="shared" si="0"/>
        <v>6.2084257206208436E-2</v>
      </c>
      <c r="G5" s="4">
        <f t="shared" si="1"/>
        <v>0.11308203991130832</v>
      </c>
      <c r="H5">
        <f t="shared" si="2"/>
        <v>1779.6509643395905</v>
      </c>
    </row>
    <row r="6" spans="1:9" x14ac:dyDescent="0.2">
      <c r="A6">
        <v>2017</v>
      </c>
      <c r="B6">
        <v>4.78</v>
      </c>
      <c r="C6">
        <v>6.02</v>
      </c>
      <c r="D6">
        <v>0.156</v>
      </c>
      <c r="E6">
        <v>0.16500000000000001</v>
      </c>
      <c r="F6" s="4">
        <f t="shared" si="0"/>
        <v>6.7154811715481169E-2</v>
      </c>
      <c r="G6" s="4">
        <f t="shared" si="1"/>
        <v>0.32656903765690359</v>
      </c>
      <c r="H6">
        <f t="shared" si="2"/>
        <v>2360.8298671291509</v>
      </c>
    </row>
    <row r="7" spans="1:9" x14ac:dyDescent="0.2">
      <c r="A7">
        <v>2018</v>
      </c>
      <c r="B7">
        <v>6.04</v>
      </c>
      <c r="C7">
        <v>7.42</v>
      </c>
      <c r="D7">
        <v>0.16200000000000001</v>
      </c>
      <c r="E7">
        <v>0.16500000000000001</v>
      </c>
      <c r="F7" s="4">
        <f t="shared" si="0"/>
        <v>5.4139072847682122E-2</v>
      </c>
      <c r="G7" s="4">
        <f t="shared" si="1"/>
        <v>0.28261589403973508</v>
      </c>
      <c r="H7">
        <f t="shared" si="2"/>
        <v>3028.0379107035646</v>
      </c>
    </row>
    <row r="8" spans="1:9" x14ac:dyDescent="0.2">
      <c r="A8">
        <v>2019</v>
      </c>
      <c r="B8">
        <v>7.35</v>
      </c>
      <c r="C8">
        <v>11.08</v>
      </c>
      <c r="D8">
        <v>0.17199999999999999</v>
      </c>
      <c r="E8">
        <v>0.17499999999999999</v>
      </c>
      <c r="F8" s="4">
        <f t="shared" si="0"/>
        <v>4.7210884353741496E-2</v>
      </c>
      <c r="G8" s="4">
        <f t="shared" si="1"/>
        <v>0.55469387755102051</v>
      </c>
      <c r="H8">
        <f t="shared" si="2"/>
        <v>4707.6720007632157</v>
      </c>
    </row>
    <row r="9" spans="1:9" x14ac:dyDescent="0.2">
      <c r="A9">
        <v>2020</v>
      </c>
      <c r="B9">
        <v>11.14</v>
      </c>
      <c r="C9">
        <v>14.71</v>
      </c>
      <c r="D9">
        <v>0.1822</v>
      </c>
      <c r="E9">
        <v>0.1855</v>
      </c>
      <c r="F9" s="4">
        <f t="shared" si="0"/>
        <v>3.3007181328545784E-2</v>
      </c>
      <c r="G9" s="4">
        <f t="shared" si="1"/>
        <v>0.35347396768402156</v>
      </c>
      <c r="H9">
        <f t="shared" si="2"/>
        <v>6371.7115014279652</v>
      </c>
    </row>
    <row r="10" spans="1:9" x14ac:dyDescent="0.2">
      <c r="A10">
        <v>2021</v>
      </c>
      <c r="B10">
        <v>15.11</v>
      </c>
      <c r="C10">
        <v>20.58</v>
      </c>
      <c r="D10">
        <v>0.19309999999999999</v>
      </c>
      <c r="E10">
        <v>0.1966</v>
      </c>
      <c r="F10" s="4">
        <f t="shared" si="0"/>
        <v>2.5790866975512906E-2</v>
      </c>
      <c r="G10" s="4">
        <f t="shared" si="1"/>
        <v>0.38780277961614823</v>
      </c>
      <c r="H10">
        <f t="shared" si="2"/>
        <v>8842.6789325939117</v>
      </c>
    </row>
    <row r="11" spans="1:9" x14ac:dyDescent="0.2">
      <c r="A11">
        <v>2022</v>
      </c>
      <c r="B11">
        <v>20.9</v>
      </c>
      <c r="C11">
        <v>11.98</v>
      </c>
      <c r="D11">
        <v>0.20469999999999999</v>
      </c>
      <c r="E11">
        <v>0.2084</v>
      </c>
      <c r="F11" s="4">
        <f t="shared" si="0"/>
        <v>1.9765550239234451E-2</v>
      </c>
      <c r="G11" s="4">
        <f t="shared" si="1"/>
        <v>-0.40702870813397124</v>
      </c>
      <c r="H11">
        <f t="shared" si="2"/>
        <v>5243.4547502167288</v>
      </c>
    </row>
    <row r="12" spans="1:9" x14ac:dyDescent="0.2">
      <c r="A12">
        <v>2023</v>
      </c>
      <c r="B12">
        <v>11.86</v>
      </c>
      <c r="C12">
        <v>12.04</v>
      </c>
      <c r="D12">
        <v>0.217</v>
      </c>
      <c r="E12">
        <v>0.22090000000000001</v>
      </c>
      <c r="F12" s="4">
        <f t="shared" si="0"/>
        <v>3.6922428330522769E-2</v>
      </c>
      <c r="G12" s="4">
        <f t="shared" si="1"/>
        <v>5.209949409780773E-2</v>
      </c>
      <c r="H12">
        <f t="shared" si="2"/>
        <v>5516.6360900277668</v>
      </c>
    </row>
    <row r="13" spans="1:9" x14ac:dyDescent="0.2">
      <c r="A13">
        <v>2024</v>
      </c>
      <c r="B13">
        <v>11.81</v>
      </c>
      <c r="C13">
        <v>14.35</v>
      </c>
      <c r="D13">
        <v>0.23</v>
      </c>
      <c r="E13">
        <v>0.23419999999999999</v>
      </c>
      <c r="F13" s="4">
        <f t="shared" si="0"/>
        <v>3.9305673158340389E-2</v>
      </c>
      <c r="G13" s="4">
        <f t="shared" si="1"/>
        <v>0.25437764606265867</v>
      </c>
      <c r="H13">
        <f t="shared" si="2"/>
        <v>6919.9449927933401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4F64-D758-1241-8D4B-F88B2847CD30}">
  <dimension ref="A1:G13"/>
  <sheetViews>
    <sheetView zoomScale="165" workbookViewId="0">
      <selection activeCell="F2" sqref="F2"/>
    </sheetView>
  </sheetViews>
  <sheetFormatPr baseColWidth="10" defaultRowHeight="16" x14ac:dyDescent="0.2"/>
  <cols>
    <col min="5" max="5" width="13" customWidth="1"/>
    <col min="6" max="6" width="11.6640625" customWidth="1"/>
  </cols>
  <sheetData>
    <row r="1" spans="1:7" ht="34" x14ac:dyDescent="0.2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">
      <c r="A2">
        <v>2013</v>
      </c>
      <c r="B2">
        <v>37702</v>
      </c>
      <c r="C2">
        <v>43065</v>
      </c>
      <c r="D2">
        <v>4.5</v>
      </c>
      <c r="E2" s="3">
        <f>(C2-B2)/B2</f>
        <v>0.14224709564479338</v>
      </c>
      <c r="F2">
        <f>1000*(1+E2/100)</f>
        <v>1001.4224709564479</v>
      </c>
      <c r="G2" t="s">
        <v>7</v>
      </c>
    </row>
    <row r="3" spans="1:7" x14ac:dyDescent="0.2">
      <c r="A3">
        <v>2014</v>
      </c>
      <c r="B3">
        <v>41761</v>
      </c>
      <c r="C3">
        <v>45352</v>
      </c>
      <c r="D3">
        <v>4.5</v>
      </c>
      <c r="E3" s="3">
        <f t="shared" ref="E3:E13" si="0">(C3-B3)/B3</f>
        <v>8.5989320179114481E-2</v>
      </c>
      <c r="F3">
        <f>F2*(1+E3/100)</f>
        <v>1002.2835873313443</v>
      </c>
      <c r="G3" t="s">
        <v>8</v>
      </c>
    </row>
    <row r="4" spans="1:7" x14ac:dyDescent="0.2">
      <c r="A4">
        <v>2015</v>
      </c>
      <c r="B4">
        <v>46839</v>
      </c>
      <c r="C4">
        <v>46374</v>
      </c>
      <c r="D4">
        <v>4.5</v>
      </c>
      <c r="E4" s="3">
        <f t="shared" si="0"/>
        <v>-9.9276244155511433E-3</v>
      </c>
      <c r="F4">
        <f t="shared" ref="F4:F13" si="1">F3*(1+E4/100)</f>
        <v>1002.1840843812153</v>
      </c>
    </row>
    <row r="5" spans="1:7" x14ac:dyDescent="0.2">
      <c r="A5">
        <v>2016</v>
      </c>
      <c r="B5">
        <v>43833</v>
      </c>
      <c r="C5">
        <v>51683</v>
      </c>
      <c r="D5">
        <v>4.5</v>
      </c>
      <c r="E5" s="3">
        <f t="shared" si="0"/>
        <v>0.17908881436360732</v>
      </c>
      <c r="F5">
        <f t="shared" si="1"/>
        <v>1003.9788839756744</v>
      </c>
    </row>
    <row r="6" spans="1:7" x14ac:dyDescent="0.2">
      <c r="A6">
        <v>2017</v>
      </c>
      <c r="B6">
        <v>51275</v>
      </c>
      <c r="C6">
        <v>57607</v>
      </c>
      <c r="D6">
        <v>4.5</v>
      </c>
      <c r="E6" s="3">
        <f t="shared" si="0"/>
        <v>0.12349098000975134</v>
      </c>
      <c r="F6">
        <f t="shared" si="1"/>
        <v>1005.2187073385869</v>
      </c>
    </row>
    <row r="7" spans="1:7" x14ac:dyDescent="0.2">
      <c r="A7">
        <v>2018</v>
      </c>
      <c r="B7">
        <v>57348</v>
      </c>
      <c r="C7">
        <v>55804</v>
      </c>
      <c r="D7">
        <v>4.5</v>
      </c>
      <c r="E7" s="3">
        <f t="shared" si="0"/>
        <v>-2.6923345190765152E-2</v>
      </c>
      <c r="F7">
        <f t="shared" si="1"/>
        <v>1004.9480688360879</v>
      </c>
    </row>
    <row r="8" spans="1:7" x14ac:dyDescent="0.2">
      <c r="A8">
        <v>2019</v>
      </c>
      <c r="B8">
        <v>57963</v>
      </c>
      <c r="C8">
        <v>68651</v>
      </c>
      <c r="D8">
        <v>4.5</v>
      </c>
      <c r="E8" s="3">
        <f t="shared" si="0"/>
        <v>0.18439349240032435</v>
      </c>
      <c r="F8">
        <f t="shared" si="1"/>
        <v>1006.8011276770243</v>
      </c>
    </row>
    <row r="9" spans="1:7" x14ac:dyDescent="0.2">
      <c r="A9">
        <v>2020</v>
      </c>
      <c r="B9">
        <v>72073</v>
      </c>
      <c r="C9">
        <v>69463</v>
      </c>
      <c r="D9">
        <v>4.5</v>
      </c>
      <c r="E9" s="3">
        <f t="shared" si="0"/>
        <v>-3.6213283753971669E-2</v>
      </c>
      <c r="F9">
        <f t="shared" si="1"/>
        <v>1006.4365319278204</v>
      </c>
    </row>
    <row r="10" spans="1:7" x14ac:dyDescent="0.2">
      <c r="A10">
        <v>2021</v>
      </c>
      <c r="B10">
        <v>69679</v>
      </c>
      <c r="C10">
        <v>81253</v>
      </c>
      <c r="D10">
        <v>4.5</v>
      </c>
      <c r="E10" s="3">
        <f t="shared" si="0"/>
        <v>0.1661045652205112</v>
      </c>
      <c r="F10">
        <f t="shared" si="1"/>
        <v>1008.1082689533994</v>
      </c>
    </row>
    <row r="11" spans="1:7" x14ac:dyDescent="0.2">
      <c r="A11">
        <v>2022</v>
      </c>
      <c r="B11">
        <v>76092</v>
      </c>
      <c r="C11">
        <v>80182</v>
      </c>
      <c r="D11">
        <v>4.5</v>
      </c>
      <c r="E11" s="3">
        <f t="shared" si="0"/>
        <v>5.3750722809230933E-2</v>
      </c>
      <c r="F11">
        <f t="shared" si="1"/>
        <v>1008.6501344346614</v>
      </c>
    </row>
    <row r="12" spans="1:7" x14ac:dyDescent="0.2">
      <c r="A12">
        <v>2023</v>
      </c>
      <c r="B12">
        <v>85173</v>
      </c>
      <c r="C12">
        <v>89937</v>
      </c>
      <c r="D12">
        <v>4.5</v>
      </c>
      <c r="E12" s="3">
        <f t="shared" si="0"/>
        <v>5.59332182733965E-2</v>
      </c>
      <c r="F12">
        <f t="shared" si="1"/>
        <v>1009.2143049159696</v>
      </c>
    </row>
    <row r="13" spans="1:7" x14ac:dyDescent="0.2">
      <c r="A13">
        <v>2024</v>
      </c>
      <c r="B13">
        <v>91004</v>
      </c>
      <c r="C13">
        <v>100010</v>
      </c>
      <c r="D13">
        <v>4.5</v>
      </c>
      <c r="E13" s="3">
        <f t="shared" si="0"/>
        <v>9.8962682958990814E-2</v>
      </c>
      <c r="F13">
        <f t="shared" si="1"/>
        <v>1010.2130504689204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23B1-C75F-DC48-B148-D4174029D1A9}">
  <dimension ref="A1:G13"/>
  <sheetViews>
    <sheetView zoomScale="181" workbookViewId="0">
      <selection activeCell="G10" sqref="G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2013</v>
      </c>
      <c r="B2">
        <v>3.62</v>
      </c>
      <c r="C2">
        <v>4.4400000000000004</v>
      </c>
      <c r="D2">
        <v>3.45</v>
      </c>
      <c r="E2" s="4">
        <f>D2/100</f>
        <v>3.4500000000000003E-2</v>
      </c>
      <c r="F2">
        <f>1000*(1+E2)</f>
        <v>1034.5</v>
      </c>
      <c r="G2" t="s">
        <v>11</v>
      </c>
    </row>
    <row r="3" spans="1:7" x14ac:dyDescent="0.2">
      <c r="A3">
        <v>2014</v>
      </c>
      <c r="B3">
        <v>4.41</v>
      </c>
      <c r="C3">
        <v>3.16</v>
      </c>
      <c r="D3">
        <v>4.03</v>
      </c>
      <c r="E3" s="4">
        <f t="shared" ref="E3:E13" si="0">D3/100</f>
        <v>4.0300000000000002E-2</v>
      </c>
      <c r="F3">
        <f>F2*(1+E3)</f>
        <v>1076.1903500000001</v>
      </c>
      <c r="G3" t="s">
        <v>12</v>
      </c>
    </row>
    <row r="4" spans="1:7" x14ac:dyDescent="0.2">
      <c r="A4">
        <v>2015</v>
      </c>
      <c r="B4">
        <v>2.88</v>
      </c>
      <c r="C4">
        <v>2.98</v>
      </c>
      <c r="D4">
        <v>2.4700000000000002</v>
      </c>
      <c r="E4" s="4">
        <f t="shared" si="0"/>
        <v>2.4700000000000003E-2</v>
      </c>
      <c r="F4">
        <f t="shared" ref="F4:F13" si="1">F3*(1+E4)</f>
        <v>1102.7722516450001</v>
      </c>
    </row>
    <row r="5" spans="1:7" x14ac:dyDescent="0.2">
      <c r="A5">
        <v>2016</v>
      </c>
      <c r="B5">
        <v>2.9</v>
      </c>
      <c r="C5">
        <v>2.94</v>
      </c>
      <c r="D5">
        <v>2.67</v>
      </c>
      <c r="E5" s="4">
        <f t="shared" si="0"/>
        <v>2.6699999999999998E-2</v>
      </c>
      <c r="F5">
        <f t="shared" si="1"/>
        <v>1132.2162707639216</v>
      </c>
    </row>
    <row r="6" spans="1:7" x14ac:dyDescent="0.2">
      <c r="A6">
        <v>2017</v>
      </c>
      <c r="B6">
        <v>2.82</v>
      </c>
      <c r="C6">
        <v>2.73</v>
      </c>
      <c r="D6">
        <v>2.73</v>
      </c>
      <c r="E6" s="4">
        <f t="shared" si="0"/>
        <v>2.7300000000000001E-2</v>
      </c>
      <c r="F6">
        <f t="shared" si="1"/>
        <v>1163.1257749557767</v>
      </c>
    </row>
    <row r="7" spans="1:7" x14ac:dyDescent="0.2">
      <c r="A7">
        <v>2018</v>
      </c>
      <c r="B7">
        <v>2.89</v>
      </c>
      <c r="C7">
        <v>2.62</v>
      </c>
      <c r="D7">
        <v>2.8</v>
      </c>
      <c r="E7" s="4">
        <f t="shared" si="0"/>
        <v>2.7999999999999997E-2</v>
      </c>
      <c r="F7">
        <f t="shared" si="1"/>
        <v>1195.6932966545385</v>
      </c>
    </row>
    <row r="8" spans="1:7" x14ac:dyDescent="0.2">
      <c r="A8">
        <v>2019</v>
      </c>
      <c r="B8">
        <v>2.39</v>
      </c>
      <c r="C8">
        <v>1.38</v>
      </c>
      <c r="D8">
        <v>2.23</v>
      </c>
      <c r="E8" s="4">
        <f t="shared" si="0"/>
        <v>2.23E-2</v>
      </c>
      <c r="F8">
        <f t="shared" si="1"/>
        <v>1222.3572571699347</v>
      </c>
    </row>
    <row r="9" spans="1:7" x14ac:dyDescent="0.2">
      <c r="A9">
        <v>2020</v>
      </c>
      <c r="B9">
        <v>1.42</v>
      </c>
      <c r="C9">
        <v>1.08</v>
      </c>
      <c r="D9">
        <v>0.95</v>
      </c>
      <c r="E9" s="4">
        <f t="shared" si="0"/>
        <v>9.4999999999999998E-3</v>
      </c>
      <c r="F9">
        <f t="shared" si="1"/>
        <v>1233.9696511130492</v>
      </c>
    </row>
    <row r="10" spans="1:7" x14ac:dyDescent="0.2">
      <c r="A10">
        <v>2021</v>
      </c>
      <c r="B10">
        <v>1.1100000000000001</v>
      </c>
      <c r="C10">
        <v>1.74</v>
      </c>
      <c r="D10">
        <v>1.0900000000000001</v>
      </c>
      <c r="E10" s="4">
        <f>D10/100</f>
        <v>1.09E-2</v>
      </c>
      <c r="F10">
        <f t="shared" si="1"/>
        <v>1247.4199203101814</v>
      </c>
    </row>
    <row r="11" spans="1:7" x14ac:dyDescent="0.2">
      <c r="A11">
        <v>2022</v>
      </c>
      <c r="B11">
        <v>2.0499999999999998</v>
      </c>
      <c r="C11">
        <v>4.09</v>
      </c>
      <c r="D11">
        <v>1.91</v>
      </c>
      <c r="E11" s="4">
        <f t="shared" si="0"/>
        <v>1.9099999999999999E-2</v>
      </c>
      <c r="F11">
        <f t="shared" si="1"/>
        <v>1271.2456407881057</v>
      </c>
    </row>
    <row r="12" spans="1:7" x14ac:dyDescent="0.2">
      <c r="A12">
        <v>2023</v>
      </c>
      <c r="B12">
        <v>4.0599999999999996</v>
      </c>
      <c r="C12">
        <v>4.51</v>
      </c>
      <c r="D12">
        <v>3.52</v>
      </c>
      <c r="E12" s="4">
        <f t="shared" si="0"/>
        <v>3.5200000000000002E-2</v>
      </c>
      <c r="F12">
        <f t="shared" si="1"/>
        <v>1315.9934873438469</v>
      </c>
    </row>
    <row r="13" spans="1:7" x14ac:dyDescent="0.2">
      <c r="A13">
        <v>2024</v>
      </c>
      <c r="B13">
        <v>4.33</v>
      </c>
      <c r="C13">
        <v>4.51</v>
      </c>
      <c r="D13">
        <v>4.07</v>
      </c>
      <c r="E13" s="4">
        <f t="shared" si="0"/>
        <v>4.07E-2</v>
      </c>
      <c r="F13">
        <f t="shared" si="1"/>
        <v>1369.5544222787414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A983-3076-6646-BB13-0384A9F94D7E}">
  <dimension ref="A1:H13"/>
  <sheetViews>
    <sheetView zoomScale="211" workbookViewId="0">
      <selection activeCell="G18" sqref="G1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2013</v>
      </c>
      <c r="B2">
        <v>102.5</v>
      </c>
      <c r="C2">
        <v>104</v>
      </c>
      <c r="D2">
        <v>3</v>
      </c>
      <c r="E2" s="5">
        <f>D2/B2</f>
        <v>2.9268292682926831E-2</v>
      </c>
      <c r="F2" s="5">
        <f>(C2-B2+D2)/B2</f>
        <v>4.3902439024390241E-2</v>
      </c>
      <c r="G2">
        <f>1000*(1+F2)</f>
        <v>1043.9024390243903</v>
      </c>
    </row>
    <row r="3" spans="1:8" x14ac:dyDescent="0.2">
      <c r="A3">
        <v>2014</v>
      </c>
      <c r="B3">
        <v>104</v>
      </c>
      <c r="C3">
        <v>106.5</v>
      </c>
      <c r="D3">
        <v>3.1</v>
      </c>
      <c r="E3" s="5">
        <f t="shared" ref="E3:E13" si="0">D3/B3</f>
        <v>2.9807692307692309E-2</v>
      </c>
      <c r="F3" s="5">
        <f t="shared" ref="F3:F12" si="1">(C3-B3+D3)/B3</f>
        <v>5.3846153846153842E-2</v>
      </c>
      <c r="G3">
        <f>G2*(1+F3)</f>
        <v>1100.1125703564728</v>
      </c>
    </row>
    <row r="4" spans="1:8" x14ac:dyDescent="0.2">
      <c r="A4">
        <v>2015</v>
      </c>
      <c r="B4">
        <v>106.5</v>
      </c>
      <c r="C4">
        <v>108</v>
      </c>
      <c r="D4">
        <v>3.2</v>
      </c>
      <c r="E4" s="5">
        <f t="shared" si="0"/>
        <v>3.0046948356807514E-2</v>
      </c>
      <c r="F4" s="5">
        <f t="shared" si="1"/>
        <v>4.4131455399061034E-2</v>
      </c>
      <c r="G4">
        <f t="shared" ref="G4:G13" si="2">G3*(1+F4)</f>
        <v>1148.6621391891058</v>
      </c>
    </row>
    <row r="5" spans="1:8" x14ac:dyDescent="0.2">
      <c r="A5">
        <v>2016</v>
      </c>
      <c r="B5">
        <v>108</v>
      </c>
      <c r="C5">
        <v>110</v>
      </c>
      <c r="D5">
        <v>3.3</v>
      </c>
      <c r="E5" s="5">
        <f t="shared" si="0"/>
        <v>3.0555555555555555E-2</v>
      </c>
      <c r="F5" s="5">
        <f t="shared" si="1"/>
        <v>4.9074074074074076E-2</v>
      </c>
      <c r="G5">
        <f t="shared" si="2"/>
        <v>1205.0316700937562</v>
      </c>
    </row>
    <row r="6" spans="1:8" x14ac:dyDescent="0.2">
      <c r="A6">
        <v>2017</v>
      </c>
      <c r="B6">
        <v>110</v>
      </c>
      <c r="C6">
        <v>111.5</v>
      </c>
      <c r="D6">
        <v>3.4</v>
      </c>
      <c r="E6" s="5">
        <f t="shared" si="0"/>
        <v>3.0909090909090907E-2</v>
      </c>
      <c r="F6" s="5">
        <f t="shared" si="1"/>
        <v>4.4545454545454548E-2</v>
      </c>
      <c r="G6">
        <f t="shared" si="2"/>
        <v>1258.7103535797507</v>
      </c>
    </row>
    <row r="7" spans="1:8" x14ac:dyDescent="0.2">
      <c r="A7">
        <v>2018</v>
      </c>
      <c r="B7">
        <v>111.5</v>
      </c>
      <c r="C7">
        <v>112</v>
      </c>
      <c r="D7">
        <v>3.5</v>
      </c>
      <c r="E7" s="5">
        <f t="shared" si="0"/>
        <v>3.1390134529147982E-2</v>
      </c>
      <c r="F7" s="5">
        <f t="shared" si="1"/>
        <v>3.5874439461883408E-2</v>
      </c>
      <c r="G7">
        <f t="shared" si="2"/>
        <v>1303.8658819592936</v>
      </c>
    </row>
    <row r="8" spans="1:8" x14ac:dyDescent="0.2">
      <c r="A8">
        <v>2019</v>
      </c>
      <c r="B8">
        <v>112</v>
      </c>
      <c r="C8">
        <v>113.5</v>
      </c>
      <c r="D8">
        <v>3.6</v>
      </c>
      <c r="E8" s="5">
        <f t="shared" si="0"/>
        <v>3.2142857142857147E-2</v>
      </c>
      <c r="F8" s="5">
        <f t="shared" si="1"/>
        <v>4.5535714285714284E-2</v>
      </c>
      <c r="G8">
        <f t="shared" si="2"/>
        <v>1363.2383462270827</v>
      </c>
    </row>
    <row r="9" spans="1:8" x14ac:dyDescent="0.2">
      <c r="A9">
        <v>2020</v>
      </c>
      <c r="B9">
        <v>113.5</v>
      </c>
      <c r="C9">
        <v>114.5</v>
      </c>
      <c r="D9">
        <v>3.7</v>
      </c>
      <c r="E9" s="5">
        <f t="shared" si="0"/>
        <v>3.2599118942731278E-2</v>
      </c>
      <c r="F9" s="5">
        <f t="shared" si="1"/>
        <v>4.1409691629955947E-2</v>
      </c>
      <c r="G9">
        <f t="shared" si="2"/>
        <v>1419.6896257624774</v>
      </c>
    </row>
    <row r="10" spans="1:8" x14ac:dyDescent="0.2">
      <c r="A10">
        <v>2021</v>
      </c>
      <c r="B10">
        <v>114.5</v>
      </c>
      <c r="C10">
        <v>115.5</v>
      </c>
      <c r="D10">
        <v>3.8</v>
      </c>
      <c r="E10" s="5">
        <f t="shared" si="0"/>
        <v>3.3187772925764192E-2</v>
      </c>
      <c r="F10" s="5">
        <f t="shared" si="1"/>
        <v>4.1921397379912663E-2</v>
      </c>
      <c r="G10">
        <f t="shared" si="2"/>
        <v>1479.2049987202056</v>
      </c>
    </row>
    <row r="11" spans="1:8" x14ac:dyDescent="0.2">
      <c r="A11">
        <v>2022</v>
      </c>
      <c r="B11">
        <v>115.5</v>
      </c>
      <c r="C11">
        <v>116</v>
      </c>
      <c r="D11">
        <v>3.9</v>
      </c>
      <c r="E11" s="5">
        <f t="shared" si="0"/>
        <v>3.3766233766233764E-2</v>
      </c>
      <c r="F11" s="5">
        <f t="shared" si="1"/>
        <v>3.8095238095238099E-2</v>
      </c>
      <c r="G11">
        <f t="shared" si="2"/>
        <v>1535.5556653381184</v>
      </c>
    </row>
    <row r="12" spans="1:8" x14ac:dyDescent="0.2">
      <c r="A12">
        <v>2023</v>
      </c>
      <c r="B12">
        <v>116</v>
      </c>
      <c r="C12">
        <v>117.5</v>
      </c>
      <c r="D12">
        <v>4</v>
      </c>
      <c r="E12" s="5">
        <f t="shared" si="0"/>
        <v>3.4482758620689655E-2</v>
      </c>
      <c r="F12" s="5">
        <f t="shared" si="1"/>
        <v>4.7413793103448273E-2</v>
      </c>
      <c r="G12">
        <f t="shared" si="2"/>
        <v>1608.3621839532877</v>
      </c>
    </row>
    <row r="13" spans="1:8" x14ac:dyDescent="0.2">
      <c r="A13">
        <v>2024</v>
      </c>
      <c r="B13">
        <v>117.05</v>
      </c>
      <c r="C13">
        <v>118</v>
      </c>
      <c r="D13">
        <v>4.0999999999999996</v>
      </c>
      <c r="E13" s="5">
        <f t="shared" si="0"/>
        <v>3.5027765912003413E-2</v>
      </c>
      <c r="F13" s="5">
        <f>(C13-B13+D13)/B13</f>
        <v>4.3143955574540815E-2</v>
      </c>
      <c r="G13">
        <f t="shared" si="2"/>
        <v>1677.7532905655398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A573-4094-0C4C-B9E7-4F3323FE4FE0}">
  <dimension ref="A1:G13"/>
  <sheetViews>
    <sheetView zoomScale="207" workbookViewId="0">
      <selection activeCell="G13" sqref="G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2013</v>
      </c>
      <c r="B2">
        <v>1580.5</v>
      </c>
      <c r="C2">
        <v>1368.62</v>
      </c>
      <c r="D2" s="2">
        <v>0</v>
      </c>
      <c r="E2" s="4">
        <f>(C2-B2)/B2</f>
        <v>-0.13405884213856381</v>
      </c>
      <c r="F2">
        <f>1000*(1+E2)</f>
        <v>865.94115786143618</v>
      </c>
      <c r="G2" t="s">
        <v>9</v>
      </c>
    </row>
    <row r="3" spans="1:7" x14ac:dyDescent="0.2">
      <c r="A3">
        <v>2014</v>
      </c>
      <c r="B3">
        <v>1416.77</v>
      </c>
      <c r="C3">
        <v>1619.02</v>
      </c>
      <c r="D3" s="2">
        <v>0</v>
      </c>
      <c r="E3" s="4">
        <f t="shared" ref="E3:E13" si="0">(C3-B3)/B3</f>
        <v>0.14275429321625951</v>
      </c>
      <c r="F3">
        <f>F2*(1+E3)</f>
        <v>989.55797581881495</v>
      </c>
    </row>
    <row r="4" spans="1:7" x14ac:dyDescent="0.2">
      <c r="A4">
        <v>2015</v>
      </c>
      <c r="B4">
        <v>1628.65</v>
      </c>
      <c r="C4">
        <v>1541.97</v>
      </c>
      <c r="D4" s="2">
        <v>0</v>
      </c>
      <c r="E4" s="4">
        <f t="shared" si="0"/>
        <v>-5.3221993675743748E-2</v>
      </c>
      <c r="F4">
        <f t="shared" ref="F4:F13" si="1">F3*(1+E4)</f>
        <v>936.89172748800422</v>
      </c>
    </row>
    <row r="5" spans="1:7" x14ac:dyDescent="0.2">
      <c r="A5">
        <v>2016</v>
      </c>
      <c r="B5">
        <v>1657.54</v>
      </c>
      <c r="C5">
        <v>1590.13</v>
      </c>
      <c r="D5" s="2">
        <v>0</v>
      </c>
      <c r="E5" s="4">
        <f t="shared" si="0"/>
        <v>-4.0668701811117591E-2</v>
      </c>
      <c r="F5">
        <f t="shared" si="1"/>
        <v>898.78955719349176</v>
      </c>
    </row>
    <row r="6" spans="1:7" x14ac:dyDescent="0.2">
      <c r="A6">
        <v>2017</v>
      </c>
      <c r="B6">
        <v>1628.65</v>
      </c>
      <c r="C6">
        <v>1599.76</v>
      </c>
      <c r="D6" s="2">
        <v>0</v>
      </c>
      <c r="E6" s="4">
        <f t="shared" si="0"/>
        <v>-1.7738617873699136E-2</v>
      </c>
      <c r="F6">
        <f t="shared" si="1"/>
        <v>882.84627268956513</v>
      </c>
    </row>
    <row r="7" spans="1:7" x14ac:dyDescent="0.2">
      <c r="A7">
        <v>2018</v>
      </c>
      <c r="B7">
        <v>1667.17</v>
      </c>
      <c r="C7">
        <v>1734.59</v>
      </c>
      <c r="D7" s="2">
        <v>0</v>
      </c>
      <c r="E7" s="4">
        <f t="shared" si="0"/>
        <v>4.0439787184270257E-2</v>
      </c>
      <c r="F7">
        <f t="shared" si="1"/>
        <v>918.54838807355748</v>
      </c>
    </row>
    <row r="8" spans="1:7" x14ac:dyDescent="0.2">
      <c r="A8">
        <v>2019</v>
      </c>
      <c r="B8">
        <v>1792.38</v>
      </c>
      <c r="C8">
        <v>2235.4</v>
      </c>
      <c r="D8" s="2">
        <v>0</v>
      </c>
      <c r="E8" s="4">
        <f t="shared" si="0"/>
        <v>0.24716856916502078</v>
      </c>
      <c r="F8">
        <f t="shared" si="1"/>
        <v>1145.5846788625349</v>
      </c>
    </row>
    <row r="9" spans="1:7" x14ac:dyDescent="0.2">
      <c r="A9">
        <v>2020</v>
      </c>
      <c r="B9">
        <v>2235.4</v>
      </c>
      <c r="C9">
        <v>2456.91</v>
      </c>
      <c r="D9" s="2">
        <v>0</v>
      </c>
      <c r="E9" s="4">
        <f t="shared" si="0"/>
        <v>9.9091885121230988E-2</v>
      </c>
      <c r="F9">
        <f t="shared" si="1"/>
        <v>1259.1028242570235</v>
      </c>
    </row>
    <row r="10" spans="1:7" x14ac:dyDescent="0.2">
      <c r="A10">
        <v>2021</v>
      </c>
      <c r="B10">
        <v>2447.2800000000002</v>
      </c>
      <c r="C10">
        <v>2495.4299999999998</v>
      </c>
      <c r="D10" s="2">
        <v>0</v>
      </c>
      <c r="E10" s="4">
        <f t="shared" si="0"/>
        <v>1.9674904383642097E-2</v>
      </c>
      <c r="F10">
        <f t="shared" si="1"/>
        <v>1283.8755519334543</v>
      </c>
    </row>
    <row r="11" spans="1:7" x14ac:dyDescent="0.2">
      <c r="A11">
        <v>2022</v>
      </c>
      <c r="B11">
        <v>2553.2199999999998</v>
      </c>
      <c r="C11">
        <v>2659.16</v>
      </c>
      <c r="D11" s="2">
        <v>0</v>
      </c>
      <c r="E11" s="4">
        <f t="shared" si="0"/>
        <v>4.1492703331479489E-2</v>
      </c>
      <c r="F11">
        <f t="shared" si="1"/>
        <v>1337.1470193243688</v>
      </c>
    </row>
    <row r="12" spans="1:7" x14ac:dyDescent="0.2">
      <c r="A12">
        <v>2023</v>
      </c>
      <c r="B12">
        <v>2716.94</v>
      </c>
      <c r="C12">
        <v>3111.81</v>
      </c>
      <c r="D12" s="2">
        <v>0</v>
      </c>
      <c r="E12" s="4">
        <f t="shared" si="0"/>
        <v>0.14533629745228083</v>
      </c>
      <c r="F12">
        <f t="shared" si="1"/>
        <v>1531.4830162623261</v>
      </c>
    </row>
    <row r="13" spans="1:7" x14ac:dyDescent="0.2">
      <c r="A13">
        <v>2024</v>
      </c>
      <c r="B13">
        <v>3131.07</v>
      </c>
      <c r="C13">
        <v>4277.1499999999996</v>
      </c>
      <c r="D13" s="2">
        <v>0</v>
      </c>
      <c r="E13" s="4">
        <f t="shared" si="0"/>
        <v>0.36603461436505713</v>
      </c>
      <c r="F13">
        <f t="shared" si="1"/>
        <v>2092.0588115265409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4EEA-E5B4-AA43-8F78-A18CA65EBD06}">
  <dimension ref="A1:G13"/>
  <sheetViews>
    <sheetView zoomScale="174" workbookViewId="0">
      <selection activeCell="F3" sqref="F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2013</v>
      </c>
      <c r="B2">
        <v>1.43</v>
      </c>
      <c r="C2">
        <v>1.51</v>
      </c>
      <c r="D2">
        <v>0</v>
      </c>
      <c r="E2" s="3">
        <f>(C2-B2)/B2</f>
        <v>5.5944055944056E-2</v>
      </c>
      <c r="F2">
        <f>1000*(1+E2)</f>
        <v>1055.9440559440561</v>
      </c>
      <c r="G2" t="s">
        <v>10</v>
      </c>
    </row>
    <row r="3" spans="1:7" x14ac:dyDescent="0.2">
      <c r="A3">
        <v>2014</v>
      </c>
      <c r="B3">
        <v>1.44</v>
      </c>
      <c r="C3">
        <v>0.83</v>
      </c>
      <c r="D3">
        <v>0</v>
      </c>
      <c r="E3" s="3">
        <f t="shared" ref="E3:E13" si="0">(C3-B3)/B3</f>
        <v>-0.4236111111111111</v>
      </c>
      <c r="F3">
        <f>F2*(1+E3)</f>
        <v>608.63442113442113</v>
      </c>
    </row>
    <row r="4" spans="1:7" x14ac:dyDescent="0.2">
      <c r="A4">
        <v>2015</v>
      </c>
      <c r="B4">
        <v>0.84</v>
      </c>
      <c r="C4">
        <v>0.56000000000000005</v>
      </c>
      <c r="D4">
        <v>0</v>
      </c>
      <c r="E4" s="3">
        <f t="shared" si="0"/>
        <v>-0.33333333333333326</v>
      </c>
      <c r="F4">
        <f t="shared" ref="F4:F13" si="1">F3*(1+E4)</f>
        <v>405.75628075628077</v>
      </c>
    </row>
    <row r="5" spans="1:7" x14ac:dyDescent="0.2">
      <c r="A5">
        <v>2016</v>
      </c>
      <c r="B5">
        <v>0.6</v>
      </c>
      <c r="C5">
        <v>1.0900000000000001</v>
      </c>
      <c r="D5">
        <v>0</v>
      </c>
      <c r="E5" s="3">
        <f t="shared" si="0"/>
        <v>0.81666666666666687</v>
      </c>
      <c r="F5">
        <f t="shared" si="1"/>
        <v>737.12391004057679</v>
      </c>
    </row>
    <row r="6" spans="1:7" x14ac:dyDescent="0.2">
      <c r="A6">
        <v>2017</v>
      </c>
      <c r="B6">
        <v>1.08</v>
      </c>
      <c r="C6">
        <v>0.95</v>
      </c>
      <c r="D6">
        <v>0</v>
      </c>
      <c r="E6" s="3">
        <f t="shared" si="0"/>
        <v>-0.12037037037037047</v>
      </c>
      <c r="F6">
        <f t="shared" si="1"/>
        <v>648.39603198013697</v>
      </c>
    </row>
    <row r="7" spans="1:7" x14ac:dyDescent="0.2">
      <c r="A7">
        <v>2018</v>
      </c>
      <c r="B7">
        <v>0.96</v>
      </c>
      <c r="C7">
        <v>0.96</v>
      </c>
      <c r="D7">
        <v>0</v>
      </c>
      <c r="E7" s="3">
        <f t="shared" si="0"/>
        <v>0</v>
      </c>
      <c r="F7">
        <f t="shared" si="1"/>
        <v>648.39603198013697</v>
      </c>
    </row>
    <row r="8" spans="1:7" x14ac:dyDescent="0.2">
      <c r="A8">
        <v>2019</v>
      </c>
      <c r="B8">
        <v>1.07</v>
      </c>
      <c r="C8">
        <v>1.35</v>
      </c>
      <c r="D8">
        <v>0</v>
      </c>
      <c r="E8" s="3">
        <f t="shared" si="0"/>
        <v>0.26168224299065423</v>
      </c>
      <c r="F8">
        <f t="shared" si="1"/>
        <v>818.06975997493919</v>
      </c>
    </row>
    <row r="9" spans="1:7" x14ac:dyDescent="0.2">
      <c r="A9">
        <v>2020</v>
      </c>
      <c r="B9">
        <v>1.39</v>
      </c>
      <c r="C9">
        <v>2.0699999999999998</v>
      </c>
      <c r="D9">
        <v>0</v>
      </c>
      <c r="E9" s="3">
        <f t="shared" si="0"/>
        <v>0.48920863309352519</v>
      </c>
      <c r="F9">
        <f t="shared" si="1"/>
        <v>1218.2765490274276</v>
      </c>
    </row>
    <row r="10" spans="1:7" x14ac:dyDescent="0.2">
      <c r="A10">
        <v>2021</v>
      </c>
      <c r="B10">
        <v>2.2000000000000002</v>
      </c>
      <c r="C10">
        <v>1.64</v>
      </c>
      <c r="D10">
        <v>0</v>
      </c>
      <c r="E10" s="3">
        <f t="shared" si="0"/>
        <v>-0.25454545454545463</v>
      </c>
      <c r="F10">
        <f t="shared" si="1"/>
        <v>908.16979109317322</v>
      </c>
    </row>
    <row r="11" spans="1:7" x14ac:dyDescent="0.2">
      <c r="A11">
        <v>2022</v>
      </c>
      <c r="B11">
        <v>1.85</v>
      </c>
      <c r="C11">
        <v>1.66</v>
      </c>
      <c r="D11">
        <v>0</v>
      </c>
      <c r="E11" s="3">
        <f t="shared" si="0"/>
        <v>-0.10270270270270279</v>
      </c>
      <c r="F11">
        <f t="shared" si="1"/>
        <v>814.89829903495536</v>
      </c>
    </row>
    <row r="12" spans="1:7" x14ac:dyDescent="0.2">
      <c r="A12">
        <v>2023</v>
      </c>
      <c r="B12">
        <v>1.76</v>
      </c>
      <c r="C12">
        <v>2.06</v>
      </c>
      <c r="D12">
        <v>0</v>
      </c>
      <c r="E12" s="3">
        <f t="shared" si="0"/>
        <v>0.17045454545454547</v>
      </c>
      <c r="F12">
        <f t="shared" si="1"/>
        <v>953.80141818864092</v>
      </c>
    </row>
    <row r="13" spans="1:7" x14ac:dyDescent="0.2">
      <c r="A13">
        <v>2024</v>
      </c>
      <c r="B13">
        <v>2.04</v>
      </c>
      <c r="C13">
        <v>1.54</v>
      </c>
      <c r="D13">
        <v>0</v>
      </c>
      <c r="E13" s="3">
        <f t="shared" si="0"/>
        <v>-0.24509803921568626</v>
      </c>
      <c r="F13">
        <f t="shared" si="1"/>
        <v>720.02656078946416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3FCB-7164-8C4E-9CE4-97DE1416FEA1}">
  <dimension ref="A1:G11"/>
  <sheetViews>
    <sheetView tabSelected="1" zoomScale="171" workbookViewId="0">
      <selection activeCell="C13" sqref="C13"/>
    </sheetView>
  </sheetViews>
  <sheetFormatPr baseColWidth="10" defaultRowHeight="16" x14ac:dyDescent="0.2"/>
  <cols>
    <col min="1" max="1" width="18" customWidth="1"/>
    <col min="2" max="2" width="9.6640625" customWidth="1"/>
    <col min="4" max="4" width="20.33203125" bestFit="1" customWidth="1"/>
    <col min="6" max="6" width="20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6</v>
      </c>
    </row>
    <row r="2" spans="1:7" x14ac:dyDescent="0.2">
      <c r="A2" t="s">
        <v>26</v>
      </c>
      <c r="B2" s="4">
        <f>AVERAGE('Residential Property'!E2:E13)</f>
        <v>6.7654580352030327E-2</v>
      </c>
      <c r="C2" s="4">
        <f>_xlfn.STDEV.P('Residential Property'!E2:E13)</f>
        <v>7.667681429840539E-3</v>
      </c>
      <c r="D2" s="6">
        <f>(B2-2.5%)/C2</f>
        <v>5.5629046071254677</v>
      </c>
      <c r="E2" s="4">
        <f>('Residential Property'!F13/1000)^(1/12)-1</f>
        <v>6.7627064026342554E-2</v>
      </c>
      <c r="F2" t="s">
        <v>36</v>
      </c>
      <c r="G2" t="s">
        <v>40</v>
      </c>
    </row>
    <row r="3" spans="1:7" x14ac:dyDescent="0.2">
      <c r="A3" t="s">
        <v>27</v>
      </c>
      <c r="B3" s="4">
        <f>AVERAGE('Commercial Office'!E2:E13)</f>
        <v>5.1484459298276559E-2</v>
      </c>
      <c r="C3" s="4">
        <f>_xlfn.STDEV.P('Commercial Office'!F2:F13)</f>
        <v>5.5774280111824245E-3</v>
      </c>
      <c r="D3" s="6">
        <f t="shared" ref="D3:D11" si="0">(B3-2.5%)/C3</f>
        <v>4.7485075997712078</v>
      </c>
      <c r="E3" s="4">
        <f>('Commercial Office'!G13/1000)^(1/12)-1</f>
        <v>8.468682473339384E-2</v>
      </c>
      <c r="F3" t="s">
        <v>36</v>
      </c>
    </row>
    <row r="4" spans="1:7" x14ac:dyDescent="0.2">
      <c r="A4" t="s">
        <v>28</v>
      </c>
      <c r="B4" s="4">
        <f>AVERAGE('Industrial Warehouse'!G2:G13)</f>
        <v>0.25547069907652892</v>
      </c>
      <c r="C4" s="4">
        <f>_xlfn.STDEV.P('Industrial Warehouse'!G2:G13)</f>
        <v>0.22241970150270804</v>
      </c>
      <c r="D4" s="6">
        <f t="shared" si="0"/>
        <v>1.0361973220871481</v>
      </c>
      <c r="E4" s="4">
        <f>('Industrial Warehouse'!H13/1000)^(1/12)-1</f>
        <v>0.2306739795888888</v>
      </c>
      <c r="F4" t="s">
        <v>36</v>
      </c>
    </row>
    <row r="5" spans="1:7" x14ac:dyDescent="0.2">
      <c r="A5" t="s">
        <v>29</v>
      </c>
      <c r="B5" s="4">
        <f>AVERAGE('Retail Property'!G2:G13)</f>
        <v>5.6740660192681376E-2</v>
      </c>
      <c r="C5" s="4">
        <f>_xlfn.STDEV.P('Retail Property'!G2:G13)</f>
        <v>0.13612378110933868</v>
      </c>
      <c r="D5" s="6">
        <f t="shared" si="0"/>
        <v>0.23317498187319916</v>
      </c>
      <c r="E5" s="4">
        <f>('Retail Property'!H13/1000)^(1/12)-1</f>
        <v>4.7285145018528096E-2</v>
      </c>
      <c r="F5" t="s">
        <v>36</v>
      </c>
    </row>
    <row r="6" spans="1:7" x14ac:dyDescent="0.2">
      <c r="A6" t="s">
        <v>30</v>
      </c>
      <c r="B6" s="4">
        <f>AVERAGE('Logistics Facilities'!G2:G13)</f>
        <v>0.20319714046839241</v>
      </c>
      <c r="C6" s="4">
        <f>_xlfn.STDEV.P('Logistics Facilities'!G2:G13)</f>
        <v>0.23091560134343428</v>
      </c>
      <c r="D6" s="6">
        <f t="shared" si="0"/>
        <v>0.77169814179581919</v>
      </c>
      <c r="E6" s="4">
        <f>('Logistics Facilities'!H13/1000)^(1/12)-1</f>
        <v>0.17492069501606</v>
      </c>
      <c r="F6" t="s">
        <v>36</v>
      </c>
    </row>
    <row r="7" spans="1:7" x14ac:dyDescent="0.2">
      <c r="A7" t="s">
        <v>31</v>
      </c>
      <c r="B7" s="2">
        <f>AVERAGE('ASX 200'!E2:E13)</f>
        <v>8.4741386541619376E-2</v>
      </c>
      <c r="C7" s="4">
        <f>_xlfn.STDEV.P('ASX 200'!E2:E13)</f>
        <v>7.5451852406753034E-2</v>
      </c>
      <c r="D7" s="6">
        <f t="shared" si="0"/>
        <v>0.79178157508393321</v>
      </c>
      <c r="E7" s="4">
        <f>('ASX 200'!F13/1000)^(1/12)-1</f>
        <v>8.4712941715947565E-4</v>
      </c>
      <c r="F7" t="s">
        <v>37</v>
      </c>
    </row>
    <row r="8" spans="1:7" x14ac:dyDescent="0.2">
      <c r="A8" t="s">
        <v>32</v>
      </c>
      <c r="B8" s="4">
        <f>AVERAGE('Gov Bonds'!E2:E13)</f>
        <v>2.6599999999999999E-2</v>
      </c>
      <c r="C8" s="4">
        <f>_xlfn.STDEV.P('Gov Bonds'!E2:E13)</f>
        <v>9.7578173789019049E-3</v>
      </c>
      <c r="D8" s="6">
        <f t="shared" si="0"/>
        <v>0.16397109495607851</v>
      </c>
      <c r="E8" s="4">
        <f>('Gov Bonds'!F13/1000)^(1/12)-1</f>
        <v>2.6553546887456259E-2</v>
      </c>
      <c r="F8" t="s">
        <v>38</v>
      </c>
    </row>
    <row r="9" spans="1:7" x14ac:dyDescent="0.2">
      <c r="A9" t="s">
        <v>33</v>
      </c>
      <c r="B9" s="4">
        <f>AVERAGE('Corp Bonds'!F2:F13)</f>
        <v>4.4074483868318935E-2</v>
      </c>
      <c r="C9" s="4">
        <f>_xlfn.STDEV.P('Corp Bonds'!F2:F13)</f>
        <v>4.5608585241911229E-3</v>
      </c>
      <c r="D9" s="6">
        <f t="shared" si="0"/>
        <v>4.1822134510742863</v>
      </c>
      <c r="E9" s="4">
        <f>('Corp Bonds'!G13/1000)^(1/12)-1</f>
        <v>4.4064529705039712E-2</v>
      </c>
      <c r="F9" t="s">
        <v>38</v>
      </c>
    </row>
    <row r="10" spans="1:7" x14ac:dyDescent="0.2">
      <c r="A10" t="s">
        <v>34</v>
      </c>
      <c r="B10" s="4">
        <f>AVERAGE('Gold (AUD)'!E2:E13)</f>
        <v>7.1358741560009722E-2</v>
      </c>
      <c r="C10" s="4">
        <f>_xlfn.STDEV.P('Gold (AUD)'!E2:E13)</f>
        <v>0.13285534368095131</v>
      </c>
      <c r="D10" s="6">
        <f t="shared" si="0"/>
        <v>0.34894148986087492</v>
      </c>
      <c r="E10" s="4">
        <f>('Gold (AUD)'!F13/1000)^(1/12)-1</f>
        <v>6.3443670599361512E-2</v>
      </c>
      <c r="F10" t="s">
        <v>39</v>
      </c>
    </row>
    <row r="11" spans="1:7" x14ac:dyDescent="0.2">
      <c r="A11" t="s">
        <v>35</v>
      </c>
      <c r="B11" s="2">
        <f>AVERAGE('Iron Ore (AUD)'!E2:E13)</f>
        <v>2.619126107256577E-2</v>
      </c>
      <c r="C11" s="4">
        <f>_xlfn.STDEV.P('Iron Ore (AUD)'!E2:E13)</f>
        <v>0.34630918556106272</v>
      </c>
      <c r="D11" s="6">
        <f t="shared" si="0"/>
        <v>3.4398772028982759E-3</v>
      </c>
      <c r="E11" s="4">
        <f>('Iron Ore (AUD)'!F13/1000)^(1/12)-1</f>
        <v>-2.70010391726484E-2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Residential Property</vt:lpstr>
      <vt:lpstr>Commercial Office</vt:lpstr>
      <vt:lpstr>Industrial Warehouse</vt:lpstr>
      <vt:lpstr>Retail Property</vt:lpstr>
      <vt:lpstr>Logistics Facilities</vt:lpstr>
      <vt:lpstr>ASX 200</vt:lpstr>
      <vt:lpstr>Gov Bonds</vt:lpstr>
      <vt:lpstr>Corp Bonds</vt:lpstr>
      <vt:lpstr>Gold (AUD)</vt:lpstr>
      <vt:lpstr>Iron Ore (AUD)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 MAI</dc:creator>
  <cp:lastModifiedBy>Bowen MAI</cp:lastModifiedBy>
  <dcterms:created xsi:type="dcterms:W3CDTF">2025-04-25T03:49:18Z</dcterms:created>
  <dcterms:modified xsi:type="dcterms:W3CDTF">2025-05-07T23:14:38Z</dcterms:modified>
</cp:coreProperties>
</file>