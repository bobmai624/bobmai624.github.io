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drawings/drawing1.xml" ContentType="application/vnd.openxmlformats-officedocument.drawing+xml"/>
  <Override PartName="/xl/tables/table1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updateLinks="always"/>
  <mc:AlternateContent xmlns:mc="http://schemas.openxmlformats.org/markup-compatibility/2006">
    <mc:Choice Requires="x15">
      <x15ac:absPath xmlns:x15ac="http://schemas.microsoft.com/office/spreadsheetml/2010/11/ac" url="/Users/liliassmart/Desktop/"/>
    </mc:Choice>
  </mc:AlternateContent>
  <xr:revisionPtr revIDLastSave="0" documentId="8_{276DAB67-7198-B44C-8D8F-C5F3F312F765}" xr6:coauthVersionLast="47" xr6:coauthVersionMax="47" xr10:uidLastSave="{00000000-0000-0000-0000-000000000000}"/>
  <bookViews>
    <workbookView xWindow="360" yWindow="0" windowWidth="28040" windowHeight="16580" firstSheet="11" activeTab="12" xr2:uid="{251B90DA-9B4D-BE49-A56E-3647B28A50A6}"/>
  </bookViews>
  <sheets>
    <sheet name="1. Assumptions Sheet" sheetId="1" r:id="rId1"/>
    <sheet name="2. Construction Cash Flow" sheetId="2" r:id="rId2"/>
    <sheet name="3. Revenue Schedule" sheetId="3" r:id="rId3"/>
    <sheet name="4. Operating Expense Schedule" sheetId="4" r:id="rId4"/>
    <sheet name="5. Loan Repayment Schedule" sheetId="5" r:id="rId5"/>
    <sheet name="6. Projected Financials (10Y)" sheetId="6" r:id="rId6"/>
    <sheet name="6.1 Cost Overrun" sheetId="18" r:id="rId7"/>
    <sheet name="7. NPV &amp; IRR Analysis" sheetId="7" r:id="rId8"/>
    <sheet name="8. Sensitivity Analysis" sheetId="8" r:id="rId9"/>
    <sheet name="8.1. Sensitivity in Occupancy" sheetId="13" r:id="rId10"/>
    <sheet name="8.2. Sensitivity in Anchor" sheetId="14" r:id="rId11"/>
    <sheet name="8.3 Construction Risks" sheetId="15" r:id="rId12"/>
    <sheet name="9. Front Door Analysis" sheetId="12" r:id="rId13"/>
    <sheet name="10. Back Door Analysis" sheetId="10" r:id="rId14"/>
    <sheet name="11. Benchmark Comparison" sheetId="11" r:id="rId15"/>
  </sheets>
  <externalReferences>
    <externalReference r:id="rId16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18" l="1"/>
  <c r="G11" i="18"/>
  <c r="G10" i="18"/>
  <c r="G9" i="18"/>
  <c r="G8" i="18"/>
  <c r="G7" i="18"/>
  <c r="H7" i="18" s="1"/>
  <c r="G6" i="18"/>
  <c r="H6" i="18" s="1"/>
  <c r="G5" i="18"/>
  <c r="H5" i="18" s="1"/>
  <c r="G4" i="18"/>
  <c r="G3" i="18"/>
  <c r="H3" i="18" s="1"/>
  <c r="I20" i="7"/>
  <c r="I17" i="7"/>
  <c r="I14" i="7"/>
  <c r="G49" i="6"/>
  <c r="G48" i="6"/>
  <c r="G47" i="6"/>
  <c r="G46" i="6"/>
  <c r="G45" i="6"/>
  <c r="G44" i="6"/>
  <c r="G43" i="6"/>
  <c r="G42" i="6"/>
  <c r="N10" i="7"/>
  <c r="G41" i="6"/>
  <c r="G40" i="6"/>
  <c r="G30" i="6"/>
  <c r="G29" i="6"/>
  <c r="G28" i="6"/>
  <c r="G27" i="6"/>
  <c r="G26" i="6"/>
  <c r="G25" i="6"/>
  <c r="G24" i="6"/>
  <c r="G23" i="6"/>
  <c r="G22" i="6"/>
  <c r="G21" i="6"/>
  <c r="G12" i="6"/>
  <c r="G11" i="6"/>
  <c r="G10" i="6"/>
  <c r="G9" i="6"/>
  <c r="G8" i="6"/>
  <c r="G7" i="6"/>
  <c r="G6" i="6"/>
  <c r="G5" i="6"/>
  <c r="G4" i="6"/>
  <c r="G3" i="6"/>
  <c r="N9" i="7"/>
  <c r="N8" i="7"/>
  <c r="I5" i="7"/>
  <c r="D67" i="7"/>
  <c r="D66" i="7"/>
  <c r="D65" i="7"/>
  <c r="B14" i="18"/>
  <c r="C14" i="18"/>
  <c r="G2" i="18"/>
  <c r="D4" i="18"/>
  <c r="E4" i="18"/>
  <c r="E14" i="18" s="1"/>
  <c r="F4" i="18"/>
  <c r="H4" i="18"/>
  <c r="D5" i="18"/>
  <c r="E5" i="18"/>
  <c r="F5" i="18"/>
  <c r="D6" i="18"/>
  <c r="D7" i="18" s="1"/>
  <c r="D8" i="18" s="1"/>
  <c r="E6" i="18"/>
  <c r="F6" i="18"/>
  <c r="E7" i="18"/>
  <c r="F7" i="18"/>
  <c r="E8" i="18"/>
  <c r="D9" i="18" l="1"/>
  <c r="F8" i="18"/>
  <c r="H8" i="18" s="1"/>
  <c r="F9" i="18" l="1"/>
  <c r="H9" i="18" s="1"/>
  <c r="D10" i="18"/>
  <c r="F10" i="18" l="1"/>
  <c r="D11" i="18"/>
  <c r="F11" i="18" l="1"/>
  <c r="H11" i="18" s="1"/>
  <c r="D12" i="18"/>
  <c r="H10" i="18"/>
  <c r="F12" i="18" l="1"/>
  <c r="D14" i="18"/>
  <c r="H12" i="18" l="1"/>
  <c r="F14" i="18"/>
  <c r="F44" i="6" l="1"/>
  <c r="F43" i="6"/>
  <c r="H43" i="6" s="1"/>
  <c r="F42" i="6"/>
  <c r="H42" i="6" s="1"/>
  <c r="F41" i="6"/>
  <c r="H41" i="6" s="1"/>
  <c r="L6" i="6"/>
  <c r="F7" i="6"/>
  <c r="F6" i="6"/>
  <c r="F5" i="6"/>
  <c r="F4" i="6"/>
  <c r="H4" i="6" s="1"/>
  <c r="L5" i="6"/>
  <c r="F24" i="6" s="1"/>
  <c r="H24" i="6" s="1"/>
  <c r="F23" i="6"/>
  <c r="H23" i="6" s="1"/>
  <c r="F22" i="6"/>
  <c r="H22" i="6"/>
  <c r="F45" i="6"/>
  <c r="B59" i="7"/>
  <c r="B39" i="7"/>
  <c r="C51" i="6"/>
  <c r="B51" i="6"/>
  <c r="E51" i="6"/>
  <c r="D41" i="6"/>
  <c r="D42" i="6" s="1"/>
  <c r="D43" i="6" s="1"/>
  <c r="H40" i="6"/>
  <c r="G39" i="6"/>
  <c r="C32" i="6"/>
  <c r="B32" i="6"/>
  <c r="E26" i="6"/>
  <c r="E25" i="6"/>
  <c r="E24" i="6"/>
  <c r="E23" i="6"/>
  <c r="D23" i="6"/>
  <c r="D24" i="6" s="1"/>
  <c r="D25" i="6" s="1"/>
  <c r="D26" i="6" s="1"/>
  <c r="E22" i="6"/>
  <c r="E32" i="6" s="1"/>
  <c r="D22" i="6"/>
  <c r="H21" i="6"/>
  <c r="G20" i="6"/>
  <c r="C2" i="10"/>
  <c r="H44" i="6" l="1"/>
  <c r="F25" i="6"/>
  <c r="H25" i="6" s="1"/>
  <c r="D44" i="6"/>
  <c r="D45" i="6" s="1"/>
  <c r="F26" i="6"/>
  <c r="D27" i="6"/>
  <c r="D46" i="6" l="1"/>
  <c r="D28" i="6"/>
  <c r="F27" i="6"/>
  <c r="H27" i="6" s="1"/>
  <c r="H26" i="6"/>
  <c r="H45" i="6" l="1"/>
  <c r="D47" i="6"/>
  <c r="F46" i="6"/>
  <c r="H46" i="6" s="1"/>
  <c r="F28" i="6"/>
  <c r="D29" i="6"/>
  <c r="F47" i="6" l="1"/>
  <c r="H47" i="6" s="1"/>
  <c r="D48" i="6"/>
  <c r="D30" i="6"/>
  <c r="F29" i="6"/>
  <c r="H29" i="6" s="1"/>
  <c r="H28" i="6"/>
  <c r="D49" i="6" l="1"/>
  <c r="F49" i="6" s="1"/>
  <c r="H49" i="6" s="1"/>
  <c r="F48" i="6"/>
  <c r="D51" i="6"/>
  <c r="F30" i="6"/>
  <c r="D32" i="6"/>
  <c r="H48" i="6" l="1"/>
  <c r="F51" i="6"/>
  <c r="H30" i="6"/>
  <c r="F32" i="6"/>
  <c r="B47" i="7" l="1"/>
  <c r="D47" i="7" s="1"/>
  <c r="B49" i="7"/>
  <c r="D49" i="7" s="1"/>
  <c r="B20" i="7"/>
  <c r="B61" i="7"/>
  <c r="E50" i="7"/>
  <c r="E49" i="7"/>
  <c r="E48" i="7"/>
  <c r="E47" i="7"/>
  <c r="E46" i="7"/>
  <c r="B50" i="7"/>
  <c r="D50" i="7" s="1"/>
  <c r="B48" i="7"/>
  <c r="D48" i="7" s="1"/>
  <c r="B46" i="7"/>
  <c r="D46" i="7" s="1"/>
  <c r="B41" i="7"/>
  <c r="E30" i="7"/>
  <c r="E29" i="7"/>
  <c r="E28" i="7"/>
  <c r="E27" i="7"/>
  <c r="E26" i="7"/>
  <c r="B30" i="7"/>
  <c r="D30" i="7" s="1"/>
  <c r="B29" i="7"/>
  <c r="D29" i="7" s="1"/>
  <c r="B28" i="7"/>
  <c r="D28" i="7" s="1"/>
  <c r="B27" i="7"/>
  <c r="D27" i="7" s="1"/>
  <c r="B26" i="7"/>
  <c r="D26" i="7" s="1"/>
  <c r="B9" i="7"/>
  <c r="B8" i="7"/>
  <c r="B7" i="7"/>
  <c r="B6" i="7"/>
  <c r="B5" i="7"/>
  <c r="D5" i="7" s="1"/>
  <c r="D4" i="6"/>
  <c r="H3" i="6"/>
  <c r="C2" i="5"/>
  <c r="E2" i="5"/>
  <c r="E3" i="5" s="1"/>
  <c r="B14" i="6"/>
  <c r="B4" i="11"/>
  <c r="E14" i="6" l="1"/>
  <c r="E6" i="5"/>
  <c r="D2" i="5"/>
  <c r="F2" i="5" s="1"/>
  <c r="B3" i="5" s="1"/>
  <c r="E5" i="5"/>
  <c r="E4" i="5"/>
  <c r="C3" i="5" l="1"/>
  <c r="D3" i="5" s="1"/>
  <c r="F3" i="5" s="1"/>
  <c r="B4" i="5" s="1"/>
  <c r="C4" i="5" l="1"/>
  <c r="D4" i="5" s="1"/>
  <c r="F4" i="5" s="1"/>
  <c r="B5" i="5" s="1"/>
  <c r="C5" i="5" l="1"/>
  <c r="D5" i="5" s="1"/>
  <c r="F5" i="5" s="1"/>
  <c r="B6" i="5" s="1"/>
  <c r="C6" i="5" l="1"/>
  <c r="D6" i="5" s="1"/>
  <c r="F6" i="5" s="1"/>
  <c r="D2" i="2" l="1"/>
  <c r="D5" i="2"/>
  <c r="D6" i="2"/>
  <c r="D7" i="2"/>
  <c r="D8" i="2"/>
  <c r="D9" i="2"/>
  <c r="D10" i="2"/>
  <c r="D11" i="2"/>
  <c r="D12" i="2"/>
  <c r="D13" i="2"/>
  <c r="D14" i="2"/>
  <c r="D15" i="2"/>
  <c r="H5" i="6"/>
  <c r="H6" i="6"/>
  <c r="H7" i="6"/>
  <c r="G2" i="6"/>
  <c r="C14" i="6"/>
  <c r="C3" i="10"/>
  <c r="C4" i="10"/>
  <c r="C5" i="10"/>
  <c r="C6" i="10"/>
  <c r="C7" i="10"/>
  <c r="C8" i="10"/>
  <c r="C9" i="10"/>
  <c r="C10" i="10"/>
  <c r="C11" i="10"/>
  <c r="C12" i="10"/>
  <c r="B3" i="10"/>
  <c r="B4" i="10"/>
  <c r="B5" i="10"/>
  <c r="B6" i="10"/>
  <c r="B7" i="10"/>
  <c r="B8" i="10"/>
  <c r="B9" i="10"/>
  <c r="B10" i="10"/>
  <c r="B11" i="10"/>
  <c r="B12" i="10"/>
  <c r="B2" i="10"/>
  <c r="B30" i="12"/>
  <c r="G20" i="12"/>
  <c r="G21" i="12"/>
  <c r="G22" i="12"/>
  <c r="G23" i="12"/>
  <c r="G24" i="12"/>
  <c r="G25" i="12"/>
  <c r="G26" i="12"/>
  <c r="G27" i="12"/>
  <c r="G28" i="12"/>
  <c r="G19" i="12"/>
  <c r="F20" i="12"/>
  <c r="F21" i="12"/>
  <c r="F22" i="12"/>
  <c r="F23" i="12"/>
  <c r="F24" i="12"/>
  <c r="F25" i="12"/>
  <c r="F26" i="12"/>
  <c r="F27" i="12"/>
  <c r="F28" i="12"/>
  <c r="F19" i="12"/>
  <c r="E20" i="12"/>
  <c r="E21" i="12"/>
  <c r="E22" i="12"/>
  <c r="E23" i="12"/>
  <c r="E24" i="12"/>
  <c r="E25" i="12"/>
  <c r="E26" i="12"/>
  <c r="E27" i="12"/>
  <c r="E28" i="12"/>
  <c r="E19" i="12"/>
  <c r="D20" i="12"/>
  <c r="D21" i="12"/>
  <c r="D22" i="12"/>
  <c r="D23" i="12"/>
  <c r="D24" i="12"/>
  <c r="D25" i="12"/>
  <c r="D26" i="12"/>
  <c r="D27" i="12"/>
  <c r="D28" i="12"/>
  <c r="D19" i="12"/>
  <c r="C20" i="12"/>
  <c r="C21" i="12"/>
  <c r="C22" i="12"/>
  <c r="C23" i="12"/>
  <c r="C24" i="12"/>
  <c r="C25" i="12"/>
  <c r="C26" i="12"/>
  <c r="C27" i="12"/>
  <c r="C28" i="12"/>
  <c r="C19" i="12"/>
  <c r="E3" i="14"/>
  <c r="E4" i="14"/>
  <c r="E5" i="14"/>
  <c r="E6" i="14"/>
  <c r="E2" i="14"/>
  <c r="D3" i="14"/>
  <c r="D4" i="14"/>
  <c r="D5" i="14"/>
  <c r="D6" i="14"/>
  <c r="D2" i="14"/>
  <c r="C3" i="13"/>
  <c r="C4" i="13"/>
  <c r="C5" i="13"/>
  <c r="C6" i="13"/>
  <c r="C7" i="13"/>
  <c r="C8" i="13"/>
  <c r="C9" i="13"/>
  <c r="C10" i="13"/>
  <c r="C11" i="13"/>
  <c r="C2" i="13"/>
  <c r="B3" i="13"/>
  <c r="B4" i="13"/>
  <c r="B5" i="13"/>
  <c r="B6" i="13"/>
  <c r="B7" i="13"/>
  <c r="B8" i="13"/>
  <c r="B9" i="13"/>
  <c r="B10" i="13"/>
  <c r="B11" i="13"/>
  <c r="B2" i="13"/>
  <c r="E6" i="7"/>
  <c r="E7" i="7"/>
  <c r="E8" i="7"/>
  <c r="E9" i="7"/>
  <c r="E5" i="7"/>
  <c r="B19" i="7" s="1"/>
  <c r="D9" i="7"/>
  <c r="D7" i="7"/>
  <c r="D8" i="7"/>
  <c r="D6" i="7"/>
  <c r="F2" i="3"/>
  <c r="E2" i="3"/>
  <c r="G2" i="3" s="1"/>
  <c r="B20" i="2"/>
  <c r="C7" i="2"/>
  <c r="C8" i="2"/>
  <c r="C9" i="2"/>
  <c r="C10" i="2"/>
  <c r="C11" i="2"/>
  <c r="C12" i="2"/>
  <c r="C13" i="2"/>
  <c r="C14" i="2"/>
  <c r="C15" i="2"/>
  <c r="C16" i="2"/>
  <c r="D16" i="2" s="1"/>
  <c r="C17" i="2"/>
  <c r="D17" i="2" s="1"/>
  <c r="C18" i="2"/>
  <c r="D18" i="2" s="1"/>
  <c r="C19" i="2"/>
  <c r="D19" i="2" s="1"/>
  <c r="C6" i="2"/>
  <c r="C5" i="2"/>
  <c r="D20" i="2" s="1"/>
  <c r="D3" i="3"/>
  <c r="C3" i="3"/>
  <c r="B10" i="4"/>
  <c r="B11" i="4"/>
  <c r="B12" i="4"/>
  <c r="B13" i="4"/>
  <c r="B14" i="4"/>
  <c r="B7" i="4"/>
  <c r="B8" i="4"/>
  <c r="B9" i="4"/>
  <c r="E3" i="3" l="1"/>
  <c r="C4" i="3"/>
  <c r="F3" i="3"/>
  <c r="D4" i="3"/>
  <c r="H2" i="3"/>
  <c r="I2" i="3" s="1"/>
  <c r="B18" i="7"/>
  <c r="D5" i="6"/>
  <c r="D6" i="6" s="1"/>
  <c r="D7" i="6" s="1"/>
  <c r="D8" i="6" s="1"/>
  <c r="F4" i="3" l="1"/>
  <c r="D5" i="3"/>
  <c r="E4" i="3"/>
  <c r="G4" i="3" s="1"/>
  <c r="C5" i="3"/>
  <c r="G3" i="3"/>
  <c r="D9" i="6"/>
  <c r="F8" i="6"/>
  <c r="H3" i="3" l="1"/>
  <c r="I3" i="3" s="1"/>
  <c r="E5" i="3"/>
  <c r="C6" i="3"/>
  <c r="H4" i="3"/>
  <c r="I4" i="3" s="1"/>
  <c r="F5" i="3"/>
  <c r="D6" i="3"/>
  <c r="H8" i="6"/>
  <c r="D10" i="6"/>
  <c r="F9" i="6"/>
  <c r="H9" i="6" s="1"/>
  <c r="F6" i="3" l="1"/>
  <c r="D7" i="3"/>
  <c r="E6" i="3"/>
  <c r="G6" i="3" s="1"/>
  <c r="C7" i="3"/>
  <c r="G5" i="3"/>
  <c r="D11" i="6"/>
  <c r="F10" i="6"/>
  <c r="H10" i="6" s="1"/>
  <c r="H5" i="3" l="1"/>
  <c r="I5" i="3" s="1"/>
  <c r="E7" i="3"/>
  <c r="C8" i="3"/>
  <c r="H6" i="3"/>
  <c r="I6" i="3" s="1"/>
  <c r="F7" i="3"/>
  <c r="D8" i="3"/>
  <c r="F11" i="6"/>
  <c r="H11" i="6" s="1"/>
  <c r="D12" i="6"/>
  <c r="F12" i="6" s="1"/>
  <c r="H12" i="6" s="1"/>
  <c r="D14" i="6"/>
  <c r="F8" i="3" l="1"/>
  <c r="D9" i="3"/>
  <c r="E8" i="3"/>
  <c r="G8" i="3" s="1"/>
  <c r="C9" i="3"/>
  <c r="G7" i="3"/>
  <c r="F14" i="6"/>
  <c r="H7" i="3" l="1"/>
  <c r="I7" i="3" s="1"/>
  <c r="E9" i="3"/>
  <c r="C10" i="3"/>
  <c r="E10" i="3" s="1"/>
  <c r="H8" i="3"/>
  <c r="I8" i="3" s="1"/>
  <c r="F9" i="3"/>
  <c r="D10" i="3"/>
  <c r="F10" i="3" s="1"/>
  <c r="G10" i="3" l="1"/>
  <c r="G9" i="3"/>
  <c r="H9" i="3" l="1"/>
  <c r="I9" i="3" s="1"/>
  <c r="H10" i="3"/>
  <c r="I10" i="3" s="1"/>
</calcChain>
</file>

<file path=xl/sharedStrings.xml><?xml version="1.0" encoding="utf-8"?>
<sst xmlns="http://schemas.openxmlformats.org/spreadsheetml/2006/main" count="283" uniqueCount="180">
  <si>
    <t>Capital Costs</t>
  </si>
  <si>
    <t>Land: $5,000,000</t>
  </si>
  <si>
    <t>Construction: $15,000,000</t>
  </si>
  <si>
    <t>Design/Legal/Marketing: $2,000,000</t>
  </si>
  <si>
    <t>Contingency buffer: 10% (optional)</t>
  </si>
  <si>
    <t>Loan Terms</t>
  </si>
  <si>
    <t>Loan: $15,000,000</t>
  </si>
  <si>
    <t>Term: 5 years</t>
  </si>
  <si>
    <t>Interest rate: 3% (Stable)</t>
  </si>
  <si>
    <t>Lease Assumptions</t>
  </si>
  <si>
    <t>Mall size: 10,000 sqm</t>
  </si>
  <si>
    <t>Anchor tenants: 30%, rate = $1,200/sqm/year</t>
  </si>
  <si>
    <t>Specialty shops: 70%, rate = $2,500/sqm/year</t>
  </si>
  <si>
    <t>Occupancy: Starts at 80%, increases 5% per year until 95%</t>
  </si>
  <si>
    <t>Lease escalation: 2.5% annually</t>
  </si>
  <si>
    <t>Other Revenue</t>
  </si>
  <si>
    <t>Advertising &amp; Parking: 10% of total rental revenue</t>
  </si>
  <si>
    <t>Operating Costs</t>
  </si>
  <si>
    <t>Fixed: $1.2 million/year</t>
  </si>
  <si>
    <t>Escalation: 2.5% inflation</t>
  </si>
  <si>
    <t>Discount Rate (WACC)</t>
  </si>
  <si>
    <t>Tax Rate</t>
  </si>
  <si>
    <t>%</t>
  </si>
  <si>
    <t>Month</t>
  </si>
  <si>
    <t>Design &amp; Legal &amp; Marketing</t>
  </si>
  <si>
    <t>Construction Cost</t>
  </si>
  <si>
    <t>Total Outflow</t>
  </si>
  <si>
    <t>Total</t>
  </si>
  <si>
    <t>Year</t>
  </si>
  <si>
    <t>Occupany Rate</t>
  </si>
  <si>
    <t>Anchor Rent (AUD/m²/year)</t>
  </si>
  <si>
    <t>Specialty Rent (AUD/m²/year)</t>
  </si>
  <si>
    <t>Anchor Rental Income</t>
  </si>
  <si>
    <t xml:space="preserve">	Specialty Rental Income</t>
  </si>
  <si>
    <t>Base Rental Income</t>
  </si>
  <si>
    <t>Ancillary Income (10%)</t>
  </si>
  <si>
    <t>Total Income</t>
  </si>
  <si>
    <t>Start from Year 2 (after construction)</t>
  </si>
  <si>
    <t>Index annually by 2.5%</t>
  </si>
  <si>
    <t>Operating Expense $</t>
  </si>
  <si>
    <t xml:space="preserve">Escalation Factor </t>
  </si>
  <si>
    <t xml:space="preserve">                                                -  </t>
  </si>
  <si>
    <t>Opening Balance</t>
  </si>
  <si>
    <t>Interest Expense (3%)</t>
  </si>
  <si>
    <t>Principal Repayment</t>
  </si>
  <si>
    <t>Total Annual Payment</t>
  </si>
  <si>
    <t>Closing Balance (opening balance - principal repayment)</t>
  </si>
  <si>
    <t>Capital Outflow</t>
  </si>
  <si>
    <t>Revenue</t>
  </si>
  <si>
    <t>Operating Expenses</t>
  </si>
  <si>
    <t>Loan Repayment</t>
  </si>
  <si>
    <t>Net Cash Flow</t>
  </si>
  <si>
    <t>Discount Factor</t>
  </si>
  <si>
    <t>Discounted CF</t>
  </si>
  <si>
    <t>Interest Rate</t>
  </si>
  <si>
    <t>DO NOT DELETE</t>
  </si>
  <si>
    <t>Column1</t>
  </si>
  <si>
    <t>Column2</t>
  </si>
  <si>
    <t>Column3</t>
  </si>
  <si>
    <t>Column4</t>
  </si>
  <si>
    <t>Column5</t>
  </si>
  <si>
    <t>Column6</t>
  </si>
  <si>
    <t xml:space="preserve">CAPM (Cost of equity)  </t>
  </si>
  <si>
    <t>NPV Calculation for debt under 3% rate</t>
  </si>
  <si>
    <t>Beta (Assumed)</t>
  </si>
  <si>
    <t>in all, total equity = 22,000,000 - 15,000,000(given in assesment outline) - 7,000,000 equity (assumed)</t>
  </si>
  <si>
    <t xml:space="preserve">loan repayment </t>
  </si>
  <si>
    <t>discount rate</t>
  </si>
  <si>
    <t>Present value cash flow</t>
  </si>
  <si>
    <t>Cash Flow</t>
  </si>
  <si>
    <t>RFR  (Gov 10 year bond)</t>
  </si>
  <si>
    <t xml:space="preserve">over a 5 year term (as told in the assesment outline) </t>
  </si>
  <si>
    <t>year 0</t>
  </si>
  <si>
    <t>Expected market return (ASX 200)</t>
  </si>
  <si>
    <t>assumption that the tax rate is 30% (corperate tax)</t>
  </si>
  <si>
    <t xml:space="preserve">year 1 </t>
  </si>
  <si>
    <t>CAPM</t>
  </si>
  <si>
    <t xml:space="preserve">year 2 </t>
  </si>
  <si>
    <t>year 3</t>
  </si>
  <si>
    <t>economic circumstance</t>
  </si>
  <si>
    <t>intrest rate (cost of debt)</t>
  </si>
  <si>
    <t>CAPM (cost of equity)</t>
  </si>
  <si>
    <t>tax rate</t>
  </si>
  <si>
    <t>value of equity</t>
  </si>
  <si>
    <t xml:space="preserve">value of debt </t>
  </si>
  <si>
    <t>WACC (discount rate)</t>
  </si>
  <si>
    <t>year 4</t>
  </si>
  <si>
    <t>boom</t>
  </si>
  <si>
    <t>year 5</t>
  </si>
  <si>
    <t>stable</t>
  </si>
  <si>
    <t>reccession</t>
  </si>
  <si>
    <t>calculations for entire 10 year timeline at 5%</t>
  </si>
  <si>
    <t>percenatges</t>
  </si>
  <si>
    <t>IRR</t>
  </si>
  <si>
    <t>NPV</t>
  </si>
  <si>
    <t>calculations for entire 10 year timeline at 3%</t>
  </si>
  <si>
    <t>calculations for entire 10 year timeline at 2%</t>
  </si>
  <si>
    <t>NPV - Initial investment</t>
  </si>
  <si>
    <t>NPV Calculation for debt under 5% rate</t>
  </si>
  <si>
    <t>NPV Calculation for debt under 2% rate</t>
  </si>
  <si>
    <t>intrest rate</t>
  </si>
  <si>
    <t xml:space="preserve">effective discount rate of DEBT </t>
  </si>
  <si>
    <t>Variable</t>
  </si>
  <si>
    <t>Range Tested</t>
  </si>
  <si>
    <t>Lowest NPV</t>
  </si>
  <si>
    <t>Highest NPV</t>
  </si>
  <si>
    <t>Impact on Feasibility</t>
  </si>
  <si>
    <t>Occupancy Rate</t>
  </si>
  <si>
    <t>70% – 95%</t>
  </si>
  <si>
    <t>$87M</t>
  </si>
  <si>
    <t>$129.8M</t>
  </si>
  <si>
    <t>Very High</t>
  </si>
  <si>
    <t>Anchor Rent</t>
  </si>
  <si>
    <t>$1080 – $1320</t>
  </si>
  <si>
    <t>$109.3M</t>
  </si>
  <si>
    <t>$114.2M</t>
  </si>
  <si>
    <t>Moderate</t>
  </si>
  <si>
    <t>Annual Cash Flow (AUD)</t>
  </si>
  <si>
    <t>NPV (AUD)</t>
  </si>
  <si>
    <t>Adjustment</t>
  </si>
  <si>
    <t>Anchor Rent ($/sqm)</t>
  </si>
  <si>
    <t>Specialty Rent ($/sqm)</t>
  </si>
  <si>
    <r>
      <t>Note:</t>
    </r>
    <r>
      <rPr>
        <sz val="12"/>
        <color theme="1"/>
        <rFont val="Aptos Narrow"/>
        <family val="2"/>
        <scheme val="minor"/>
      </rPr>
      <t xml:space="preserve"> The base anchor rent of $1200/sqm/year is assumed based on current average market rates for prime CBD retail leases in Melbourne.</t>
    </r>
  </si>
  <si>
    <t>Construction Cost Risk Summary</t>
  </si>
  <si>
    <t>Base Case</t>
  </si>
  <si>
    <t>Cost Overrun (+10%)</t>
  </si>
  <si>
    <t xml:space="preserve">% Change </t>
  </si>
  <si>
    <t>Capital Expenditure</t>
  </si>
  <si>
    <t>Payback Period (years)</t>
  </si>
  <si>
    <t>Parameter</t>
  </si>
  <si>
    <t>Value</t>
  </si>
  <si>
    <t>Notes</t>
  </si>
  <si>
    <t>Total Gross Floor Area</t>
  </si>
  <si>
    <t>10,000 sqm</t>
  </si>
  <si>
    <t>As per brief</t>
  </si>
  <si>
    <t>Anchor Area Share</t>
  </si>
  <si>
    <t>30% = 3,000 sqm</t>
  </si>
  <si>
    <t>Fixed proportion</t>
  </si>
  <si>
    <t>Specialty Area Share</t>
  </si>
  <si>
    <t>70% = 7,000 sqm</t>
  </si>
  <si>
    <t>Anchor Rent Rate</t>
  </si>
  <si>
    <t>$1,200 / sqm / year</t>
  </si>
  <si>
    <t>Based on Melbourne CBD averages</t>
  </si>
  <si>
    <t>Specialty Rent Rate</t>
  </si>
  <si>
    <t>$2,500 / sqm / year</t>
  </si>
  <si>
    <t>Based on current market benchmarks</t>
  </si>
  <si>
    <t>Initial Occupancy Rate</t>
  </si>
  <si>
    <t>Increases 5%/year up to 95%</t>
  </si>
  <si>
    <t>Lease Escalation</t>
  </si>
  <si>
    <t>2.5% annually</t>
  </si>
  <si>
    <t>Applied to base rent</t>
  </si>
  <si>
    <t>Ancillary Income (Ads + Parking)</t>
  </si>
  <si>
    <t>10% of rental income</t>
  </si>
  <si>
    <t>Conservative estimate</t>
  </si>
  <si>
    <t>Operating Cost (Year 1)</t>
  </si>
  <si>
    <t>$1.2 million</t>
  </si>
  <si>
    <t>With 2.5% annual inflation</t>
  </si>
  <si>
    <t>Capital Expenditure (CapEx)</t>
  </si>
  <si>
    <t>$22 million</t>
  </si>
  <si>
    <t>Land + construction + soft costs</t>
  </si>
  <si>
    <t>Loan Amount</t>
  </si>
  <si>
    <t>$15 million</t>
  </si>
  <si>
    <t>5-year term</t>
  </si>
  <si>
    <t>Interest Rate (by Scenario)</t>
  </si>
  <si>
    <t>Boom: 5%, Stable: 3%, Recession: 2%</t>
  </si>
  <si>
    <t>Variable in scenario analysis</t>
  </si>
  <si>
    <t>Discount Rate (for NPV)</t>
  </si>
  <si>
    <t>Reflecting stable economic condition</t>
  </si>
  <si>
    <t>Ancillary Income</t>
  </si>
  <si>
    <t>Total Revenue</t>
  </si>
  <si>
    <t>Operating Cost</t>
  </si>
  <si>
    <t>Annual Cash Flow (First Year)</t>
  </si>
  <si>
    <r>
      <t>Note:</t>
    </r>
    <r>
      <rPr>
        <sz val="12"/>
        <color theme="1"/>
        <rFont val="Aptos Narrow"/>
        <family val="2"/>
        <scheme val="minor"/>
      </rPr>
      <t xml:space="preserve"> Annual cash flow is calculated as:</t>
    </r>
  </si>
  <si>
    <t>Base rent at 100% occupancy ($21.1M) × occupancy rate</t>
  </si>
  <si>
    <t xml:space="preserve">Investment </t>
  </si>
  <si>
    <t>Average return</t>
  </si>
  <si>
    <t>Mall (IRR)</t>
  </si>
  <si>
    <t>S&amp;P/ASX 200</t>
  </si>
  <si>
    <t>Government 10 year bond</t>
  </si>
  <si>
    <t xml:space="preserve">risk free rate of return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</si>
</sst>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0.000%"/>
    <numFmt numFmtId="165" formatCode="0.0%"/>
  </numFmts>
  <fonts count="8" x14ac:knownFonts="1">
    <font>
      <sz val="12"/>
      <color theme="1"/>
      <name val="Aptos Narrow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</font>
    <font>
      <b/>
      <sz val="12"/>
      <color theme="1"/>
      <name val="Aptos Narrow"/>
      <scheme val="minor"/>
    </font>
    <font>
      <sz val="12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0" tint="-0.14999847407452621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73">
    <xf numFmtId="0" fontId="0" fillId="0" borderId="0" xfId="0"/>
    <xf numFmtId="0" fontId="1" fillId="0" borderId="0" xfId="0" applyFont="1"/>
    <xf numFmtId="0" fontId="2" fillId="0" borderId="0" xfId="0" applyFont="1" applyAlignment="1">
      <alignment readingOrder="1"/>
    </xf>
    <xf numFmtId="0" fontId="0" fillId="0" borderId="0" xfId="0" applyAlignment="1">
      <alignment horizontal="center"/>
    </xf>
    <xf numFmtId="0" fontId="2" fillId="0" borderId="0" xfId="0" applyFont="1"/>
    <xf numFmtId="10" fontId="0" fillId="0" borderId="0" xfId="0" applyNumberFormat="1"/>
    <xf numFmtId="3" fontId="0" fillId="0" borderId="0" xfId="0" applyNumberFormat="1"/>
    <xf numFmtId="2" fontId="0" fillId="0" borderId="0" xfId="0" applyNumberFormat="1"/>
    <xf numFmtId="9" fontId="0" fillId="0" borderId="0" xfId="0" applyNumberFormat="1"/>
    <xf numFmtId="0" fontId="0" fillId="0" borderId="1" xfId="0" applyBorder="1"/>
    <xf numFmtId="3" fontId="0" fillId="0" borderId="1" xfId="0" applyNumberFormat="1" applyBorder="1"/>
    <xf numFmtId="0" fontId="0" fillId="2" borderId="5" xfId="0" applyFill="1" applyBorder="1"/>
    <xf numFmtId="0" fontId="0" fillId="2" borderId="6" xfId="0" applyFill="1" applyBorder="1"/>
    <xf numFmtId="0" fontId="0" fillId="2" borderId="4" xfId="0" applyFill="1" applyBorder="1"/>
    <xf numFmtId="0" fontId="0" fillId="0" borderId="7" xfId="0" applyBorder="1"/>
    <xf numFmtId="3" fontId="0" fillId="0" borderId="8" xfId="0" applyNumberFormat="1" applyBorder="1"/>
    <xf numFmtId="0" fontId="0" fillId="0" borderId="3" xfId="0" applyBorder="1"/>
    <xf numFmtId="3" fontId="0" fillId="0" borderId="9" xfId="0" applyNumberFormat="1" applyBorder="1"/>
    <xf numFmtId="3" fontId="0" fillId="0" borderId="2" xfId="0" applyNumberFormat="1" applyBorder="1"/>
    <xf numFmtId="0" fontId="3" fillId="0" borderId="0" xfId="0" applyFont="1"/>
    <xf numFmtId="43" fontId="0" fillId="0" borderId="0" xfId="0" applyNumberFormat="1"/>
    <xf numFmtId="8" fontId="0" fillId="0" borderId="0" xfId="0" applyNumberFormat="1"/>
    <xf numFmtId="9" fontId="0" fillId="0" borderId="0" xfId="0" applyNumberFormat="1" applyAlignment="1">
      <alignment horizontal="left"/>
    </xf>
    <xf numFmtId="10" fontId="0" fillId="0" borderId="0" xfId="1" applyNumberFormat="1" applyFont="1"/>
    <xf numFmtId="0" fontId="3" fillId="0" borderId="0" xfId="0" applyFont="1" applyAlignment="1">
      <alignment horizontal="right"/>
    </xf>
    <xf numFmtId="0" fontId="1" fillId="0" borderId="0" xfId="0" applyFont="1" applyAlignment="1">
      <alignment readingOrder="1"/>
    </xf>
    <xf numFmtId="6" fontId="0" fillId="0" borderId="0" xfId="0" applyNumberFormat="1"/>
    <xf numFmtId="8" fontId="2" fillId="0" borderId="0" xfId="0" applyNumberFormat="1" applyFont="1" applyAlignment="1">
      <alignment readingOrder="1"/>
    </xf>
    <xf numFmtId="0" fontId="5" fillId="0" borderId="0" xfId="0" applyFont="1"/>
    <xf numFmtId="10" fontId="5" fillId="0" borderId="0" xfId="0" applyNumberFormat="1" applyFont="1"/>
    <xf numFmtId="4" fontId="5" fillId="0" borderId="0" xfId="0" applyNumberFormat="1" applyFont="1"/>
    <xf numFmtId="0" fontId="0" fillId="3" borderId="0" xfId="0" applyFill="1"/>
    <xf numFmtId="164" fontId="0" fillId="0" borderId="0" xfId="0" applyNumberFormat="1"/>
    <xf numFmtId="0" fontId="0" fillId="4" borderId="0" xfId="0" applyFill="1"/>
    <xf numFmtId="3" fontId="0" fillId="3" borderId="0" xfId="0" applyNumberFormat="1" applyFill="1"/>
    <xf numFmtId="9" fontId="0" fillId="3" borderId="0" xfId="0" applyNumberFormat="1" applyFill="1"/>
    <xf numFmtId="10" fontId="0" fillId="3" borderId="0" xfId="0" applyNumberFormat="1" applyFill="1"/>
    <xf numFmtId="8" fontId="0" fillId="3" borderId="0" xfId="0" applyNumberFormat="1" applyFill="1"/>
    <xf numFmtId="0" fontId="6" fillId="0" borderId="0" xfId="0" applyFont="1"/>
    <xf numFmtId="0" fontId="3" fillId="4" borderId="0" xfId="0" applyFont="1" applyFill="1"/>
    <xf numFmtId="8" fontId="0" fillId="4" borderId="0" xfId="0" applyNumberFormat="1" applyFill="1"/>
    <xf numFmtId="3" fontId="0" fillId="4" borderId="0" xfId="0" applyNumberFormat="1" applyFill="1"/>
    <xf numFmtId="0" fontId="0" fillId="5" borderId="0" xfId="0" applyFill="1"/>
    <xf numFmtId="2" fontId="0" fillId="5" borderId="0" xfId="0" applyNumberFormat="1" applyFill="1"/>
    <xf numFmtId="0" fontId="3" fillId="5" borderId="0" xfId="0" applyFont="1" applyFill="1" applyAlignment="1">
      <alignment horizontal="right"/>
    </xf>
    <xf numFmtId="8" fontId="0" fillId="5" borderId="0" xfId="0" applyNumberFormat="1" applyFill="1"/>
    <xf numFmtId="9" fontId="0" fillId="5" borderId="0" xfId="0" applyNumberFormat="1" applyFill="1"/>
    <xf numFmtId="8" fontId="0" fillId="0" borderId="0" xfId="2" applyNumberFormat="1" applyFont="1"/>
    <xf numFmtId="0" fontId="3" fillId="0" borderId="10" xfId="0" applyFont="1" applyBorder="1"/>
    <xf numFmtId="0" fontId="0" fillId="6" borderId="0" xfId="0" applyFill="1"/>
    <xf numFmtId="8" fontId="0" fillId="7" borderId="0" xfId="0" applyNumberFormat="1" applyFill="1"/>
    <xf numFmtId="8" fontId="0" fillId="6" borderId="0" xfId="0" applyNumberFormat="1" applyFill="1"/>
    <xf numFmtId="0" fontId="7" fillId="0" borderId="0" xfId="0" applyFont="1"/>
    <xf numFmtId="8" fontId="7" fillId="0" borderId="0" xfId="0" applyNumberFormat="1" applyFont="1"/>
    <xf numFmtId="43" fontId="0" fillId="0" borderId="0" xfId="2" applyFont="1" applyFill="1"/>
    <xf numFmtId="164" fontId="0" fillId="3" borderId="0" xfId="0" applyNumberFormat="1" applyFill="1"/>
    <xf numFmtId="9" fontId="0" fillId="0" borderId="0" xfId="1" applyFont="1"/>
    <xf numFmtId="8" fontId="0" fillId="0" borderId="11" xfId="2" applyNumberFormat="1" applyFont="1" applyBorder="1"/>
    <xf numFmtId="43" fontId="0" fillId="0" borderId="0" xfId="2" applyFont="1"/>
    <xf numFmtId="165" fontId="0" fillId="0" borderId="0" xfId="0" applyNumberFormat="1"/>
    <xf numFmtId="165" fontId="0" fillId="0" borderId="11" xfId="0" applyNumberFormat="1" applyBorder="1"/>
    <xf numFmtId="165" fontId="0" fillId="3" borderId="0" xfId="0" applyNumberFormat="1" applyFill="1"/>
    <xf numFmtId="164" fontId="0" fillId="4" borderId="0" xfId="0" applyNumberFormat="1" applyFill="1"/>
    <xf numFmtId="0" fontId="2" fillId="0" borderId="1" xfId="0" applyFont="1" applyBorder="1" applyAlignment="1">
      <alignment readingOrder="1"/>
    </xf>
    <xf numFmtId="0" fontId="2" fillId="0" borderId="1" xfId="0" applyFont="1" applyBorder="1"/>
    <xf numFmtId="9" fontId="0" fillId="0" borderId="1" xfId="0" applyNumberForma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</cellXfs>
  <cellStyles count="3">
    <cellStyle name="Comma" xfId="2" builtinId="3"/>
    <cellStyle name="Normal" xfId="0" builtinId="0"/>
    <cellStyle name="Per cent" xfId="1" builtinId="5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</dxf>
    <dxf>
      <numFmt numFmtId="14" formatCode="0.00%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border outline="0"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numFmt numFmtId="3" formatCode="#,##0"/>
    </dxf>
    <dxf>
      <numFmt numFmtId="3" formatCode="#,##0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numFmt numFmtId="3" formatCode="#,##0"/>
    </dxf>
    <dxf>
      <numFmt numFmtId="2" formatCode="0.00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'11. Benchmark Comparison'!$B$1</c:f>
              <c:strCache>
                <c:ptCount val="1"/>
                <c:pt idx="0">
                  <c:v>Average return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'11. Benchmark Comparison'!$A$2:$A$5</c:f>
              <c:strCache>
                <c:ptCount val="4"/>
                <c:pt idx="0">
                  <c:v>Mall (IRR)</c:v>
                </c:pt>
                <c:pt idx="1">
                  <c:v>S&amp;P/ASX 200</c:v>
                </c:pt>
                <c:pt idx="2">
                  <c:v>Government 10 year bond</c:v>
                </c:pt>
                <c:pt idx="3">
                  <c:v>risk free rate of return </c:v>
                </c:pt>
              </c:strCache>
            </c:strRef>
          </c:cat>
          <c:val>
            <c:numRef>
              <c:f>'11. Benchmark Comparison'!$B$2:$B$5</c:f>
              <c:numCache>
                <c:formatCode>0.00%</c:formatCode>
                <c:ptCount val="4"/>
                <c:pt idx="0">
                  <c:v>0.26</c:v>
                </c:pt>
                <c:pt idx="1">
                  <c:v>4.2799999999999998E-2</c:v>
                </c:pt>
                <c:pt idx="2">
                  <c:v>0</c:v>
                </c:pt>
                <c:pt idx="3">
                  <c:v>0.03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B5-F949-BD00-51E613ACE5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3666080"/>
        <c:axId val="1183112336"/>
      </c:barChart>
      <c:catAx>
        <c:axId val="1183666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3112336"/>
        <c:crosses val="autoZero"/>
        <c:auto val="1"/>
        <c:lblAlgn val="ctr"/>
        <c:lblOffset val="100"/>
        <c:noMultiLvlLbl val="0"/>
      </c:catAx>
      <c:valAx>
        <c:axId val="1183112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3666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6</xdr:row>
      <xdr:rowOff>76200</xdr:rowOff>
    </xdr:from>
    <xdr:to>
      <xdr:col>4</xdr:col>
      <xdr:colOff>527050</xdr:colOff>
      <xdr:row>19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B4EAD99-1099-A248-FF3C-CB4D648E87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nimelbcloud-my.sharepoint.com/Users/ljward.11/Desktop/Finance/FBE%20Excel.xlsx" TargetMode="External"/><Relationship Id="rId1" Type="http://schemas.openxmlformats.org/officeDocument/2006/relationships/externalLinkPath" Target="https://unimelbcloud-my.sharepoint.com/Users/ljward.11/Desktop/Finance/FBE%20Exc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FBE Excel"/>
    </sheetNames>
    <sheetDataSet>
      <sheetData sheetId="0"/>
      <sheetData sheetId="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3CBB4B8-BC9F-6A4B-88FF-C96533B61CAF}" name="Table10" displayName="Table10" ref="A19:I33" totalsRowShown="0" headerRowDxfId="24">
  <autoFilter ref="A19:I33" xr:uid="{B3CBB4B8-BC9F-6A4B-88FF-C96533B61CAF}"/>
  <tableColumns count="9">
    <tableColumn id="1" xr3:uid="{D35F206C-8338-1A4D-AEBF-EA7E7F947A9D}" name="Year"/>
    <tableColumn id="2" xr3:uid="{198B1179-7316-174C-BBF5-F1FCF32667DA}" name="Capital Outflow"/>
    <tableColumn id="3" xr3:uid="{4FE38DD7-6117-684E-9118-10A9F1B7D530}" name="Revenue"/>
    <tableColumn id="4" xr3:uid="{FCA15430-2B54-7641-A5F5-16049EB67E27}" name="Operating Expenses" dataDxfId="23"/>
    <tableColumn id="5" xr3:uid="{2B87CE59-A7E8-D540-8AB1-7C023044EF3A}" name="Loan Repayment"/>
    <tableColumn id="6" xr3:uid="{56391E3E-A767-784D-BF45-0317BF9FD653}" name="Net Cash Flow"/>
    <tableColumn id="7" xr3:uid="{6AE2DB1B-78B6-2B48-95BA-68AC5986FFCA}" name="Discount Factor"/>
    <tableColumn id="8" xr3:uid="{F0C1E7DC-D2D6-984D-BE79-832CE0B35199}" name="Discounted CF"/>
    <tableColumn id="9" xr3:uid="{3DB74182-4E90-4D4F-99B1-28740491CF97}" name="Interest Rate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6490CB5-B46D-9B41-A8AB-9D30B43D50B9}" name="Table14" displayName="Table14" ref="A1:I14" totalsRowShown="0" headerRowDxfId="22">
  <autoFilter ref="A1:I14" xr:uid="{F6490CB5-B46D-9B41-A8AB-9D30B43D50B9}"/>
  <tableColumns count="9">
    <tableColumn id="1" xr3:uid="{AA77B1FC-BAD7-6D42-B158-60006AB8A1DF}" name="Year"/>
    <tableColumn id="2" xr3:uid="{39BD51A8-B537-EA41-A73D-6F711AC3C620}" name="Capital Outflow"/>
    <tableColumn id="3" xr3:uid="{8DAA1BCF-BF35-8047-B5B6-B72DF55AACD6}" name="Revenue"/>
    <tableColumn id="4" xr3:uid="{CB08BC2A-0308-FA4F-A83D-3C9133354D30}" name="Operating Expenses" dataDxfId="21"/>
    <tableColumn id="5" xr3:uid="{A2855F00-1615-1549-B24D-75ADC1C1E8A1}" name="Loan Repayment"/>
    <tableColumn id="6" xr3:uid="{083AAB9E-3B43-334D-8855-480E81AA5C9B}" name="Net Cash Flow" dataDxfId="20"/>
    <tableColumn id="7" xr3:uid="{70409C1E-D401-7743-A298-FAC0DC894121}" name="Discount Factor"/>
    <tableColumn id="8" xr3:uid="{C448AB4E-D312-F544-A90A-60229C61D98C}" name="Discounted CF" dataDxfId="19"/>
    <tableColumn id="9" xr3:uid="{92C21664-7424-864F-BB04-F00BA077123F}" name="Interest Rate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E181C43D-C808-6B4C-A70A-4AE4C0D59CFA}" name="Table1016" displayName="Table1016" ref="A38:I52" totalsRowShown="0" headerRowDxfId="18">
  <autoFilter ref="A38:I52" xr:uid="{E181C43D-C808-6B4C-A70A-4AE4C0D59CFA}"/>
  <tableColumns count="9">
    <tableColumn id="1" xr3:uid="{6808DA2F-9FD3-B847-8723-32EDB840A275}" name="Year"/>
    <tableColumn id="2" xr3:uid="{A1A33263-71F3-3D4A-9174-710D6D85C261}" name="Capital Outflow"/>
    <tableColumn id="3" xr3:uid="{E37A1E6A-A567-084F-99E3-A98E33F6D3C9}" name="Revenue"/>
    <tableColumn id="4" xr3:uid="{C24C1EAA-DF3B-774C-816A-94B0C3D6CA50}" name="Operating Expenses" dataDxfId="17"/>
    <tableColumn id="5" xr3:uid="{CC824E79-38F7-0B49-BE3F-90D52A498134}" name="Loan Repayment"/>
    <tableColumn id="6" xr3:uid="{9ED5E566-8556-7242-B0D4-9869093E97F4}" name="Net Cash Flow"/>
    <tableColumn id="7" xr3:uid="{2C98EB6C-499B-BA43-BAFA-0CDFE85A9756}" name="Discount Factor"/>
    <tableColumn id="8" xr3:uid="{FF11C8A5-D0B5-1342-83B1-9FCA5D0A27BD}" name="Discounted CF"/>
    <tableColumn id="9" xr3:uid="{894A73AB-CBA2-1947-AB98-64166C121710}" name="Interest Rate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5D3EF11-8D6A-4440-A5C4-367B4E83D9F7}" name="Table105" displayName="Table105" ref="A1:I15" totalsRowShown="0" headerRowDxfId="16">
  <autoFilter ref="A1:I15" xr:uid="{B3CBB4B8-BC9F-6A4B-88FF-C96533B61CAF}"/>
  <tableColumns count="9">
    <tableColumn id="1" xr3:uid="{8CA1043B-F5EF-4554-9AE3-29FF08B0C0BF}" name="Year"/>
    <tableColumn id="2" xr3:uid="{DCB00224-9092-4F77-828C-1BA19EE77904}" name="Capital Outflow"/>
    <tableColumn id="3" xr3:uid="{CDE22DAA-81D4-4A83-91FC-9C99F096631C}" name="Revenue"/>
    <tableColumn id="4" xr3:uid="{19CE7A4C-F93A-466A-BA57-8A6CA901DFB4}" name="Operating Expenses" dataDxfId="15"/>
    <tableColumn id="5" xr3:uid="{39F69E18-D11D-4CE8-9D37-EF275EA983B7}" name="Loan Repayment"/>
    <tableColumn id="6" xr3:uid="{49EC259B-7EC2-4E16-B63D-45755549BC3C}" name="Net Cash Flow"/>
    <tableColumn id="7" xr3:uid="{D49BFCDF-DFC1-4BAF-AADC-423D213A9824}" name="Discount Factor"/>
    <tableColumn id="8" xr3:uid="{7378EF7B-FC6C-4EF9-89B2-4C4298D115D8}" name="Discounted CF"/>
    <tableColumn id="9" xr3:uid="{3148A003-4982-4142-8C9B-E98E7D7C3438}" name="Interest Rate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D75FDE8-2CE0-DD43-B70A-33DC3C532DDF}" name="Table3" displayName="Table3" ref="A1:F20" totalsRowShown="0">
  <autoFilter ref="A1:F20" xr:uid="{4D75FDE8-2CE0-DD43-B70A-33DC3C532DDF}"/>
  <tableColumns count="6">
    <tableColumn id="1" xr3:uid="{FEED864F-00DB-0B47-A44A-371832A75DBB}" name="Column1"/>
    <tableColumn id="2" xr3:uid="{6D1028FC-2216-6D42-9C6B-3259C7F77C03}" name="Column2" dataDxfId="14"/>
    <tableColumn id="3" xr3:uid="{7E6FD8F1-7B3B-7C48-92DA-D0179AED5E15}" name="Column3"/>
    <tableColumn id="4" xr3:uid="{129760B9-6BB7-9A44-8469-FF4D99326F02}" name="Column4"/>
    <tableColumn id="5" xr3:uid="{A282853C-6314-4860-981A-FFF4C3D18470}" name="Column5"/>
    <tableColumn id="6" xr3:uid="{7487CEBA-8EA5-437D-A8DC-FA0657A4B274}" name="Column6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76C523-FC6C-E74A-BB13-9B9AE7BA7C1E}" name="Table33" displayName="Table33" ref="A22:F41" totalsRowShown="0">
  <autoFilter ref="A22:F41" xr:uid="{4876C523-FC6C-E74A-BB13-9B9AE7BA7C1E}"/>
  <tableColumns count="6">
    <tableColumn id="1" xr3:uid="{7DC7CBAF-4705-D44C-896B-A74783C2F94D}" name="Column1"/>
    <tableColumn id="2" xr3:uid="{370DD476-7BDC-3347-8094-3DB5E3386056}" name="Column2" dataDxfId="13"/>
    <tableColumn id="3" xr3:uid="{AA9AAB77-27FC-9845-AA6D-D48364961F9E}" name="Column3"/>
    <tableColumn id="4" xr3:uid="{6BD68FC1-A0DA-8543-852E-0C2EDCF06A9F}" name="Column4"/>
    <tableColumn id="5" xr3:uid="{D4496E8E-D5DA-DC46-9E18-464E7C2E83C9}" name="Column5"/>
    <tableColumn id="6" xr3:uid="{357DA550-990A-EC43-A9C7-C0CB78D02D28}" name="Column6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23917D2-022B-DB45-A964-2D77EE4E2649}" name="Table5" displayName="Table5" ref="A43:F61" totalsRowShown="0" headerRowDxfId="12" dataDxfId="11" tableBorderDxfId="10">
  <autoFilter ref="A43:F61" xr:uid="{523917D2-022B-DB45-A964-2D77EE4E2649}"/>
  <tableColumns count="6">
    <tableColumn id="1" xr3:uid="{512FE4B1-18D3-2744-924D-3DD9232544DF}" name="NPV Calculation for debt under 2% rate" dataDxfId="9"/>
    <tableColumn id="2" xr3:uid="{33578876-C05E-FB49-A39F-E048F0397E7E}" name="Column1"/>
    <tableColumn id="3" xr3:uid="{B0114496-1381-C14A-886F-89E47DDF07FA}" name="Column2" dataDxfId="8"/>
    <tableColumn id="4" xr3:uid="{69934D26-0049-1E42-B671-F9B03B6FB15D}" name="Column3" dataDxfId="7"/>
    <tableColumn id="5" xr3:uid="{2C034AC4-2197-614E-A33E-5BDE7F1CAAE0}" name="Column4" dataDxfId="6"/>
    <tableColumn id="6" xr3:uid="{C7EE720D-132C-D241-91B2-7F2382AE8895}" name="Column5" dataDxfId="5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EB67E8E3-1411-5846-ACE5-84386C854AC0}" name="Table16" displayName="Table16" ref="H1:I5" totalsRowShown="0">
  <autoFilter ref="H1:I5" xr:uid="{EB67E8E3-1411-5846-ACE5-84386C854AC0}"/>
  <tableColumns count="2">
    <tableColumn id="1" xr3:uid="{5811E619-F634-3942-969F-996D6FA9DA61}" name="CAPM (Cost of equity)  "/>
    <tableColumn id="2" xr3:uid="{BE48D4C9-397B-B14B-AA7F-53DB73817028}" name="Column1" dataDxfId="4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DC920192-0E10-C543-BCD7-191B828D4AC8}" name="Table17" displayName="Table17" ref="H7:N10" totalsRowShown="0" headerRowDxfId="3">
  <autoFilter ref="H7:N10" xr:uid="{DC920192-0E10-C543-BCD7-191B828D4AC8}"/>
  <tableColumns count="7">
    <tableColumn id="1" xr3:uid="{92A76B8A-118F-0245-B0EE-CC9DA36640C1}" name="economic circumstance"/>
    <tableColumn id="2" xr3:uid="{A9CCD483-27B3-8D4C-ADC8-073912C3422E}" name="intrest rate (cost of debt)"/>
    <tableColumn id="3" xr3:uid="{4230F53E-4CB1-8C45-AEC1-3B3A2CECD38F}" name="CAPM (cost of equity)"/>
    <tableColumn id="4" xr3:uid="{CBC4868D-DD67-7A40-B8BA-D267C4F572F5}" name="tax rate"/>
    <tableColumn id="5" xr3:uid="{B823E5B1-19C7-E645-ADDB-8BBF6598B8C0}" name="value of equity" dataDxfId="2"/>
    <tableColumn id="6" xr3:uid="{10C8793C-0061-D740-95A2-A2AC4E9DB8D4}" name="value of debt "/>
    <tableColumn id="7" xr3:uid="{EDE255B6-927C-634D-A9E5-77EEC6385134}" name="WACC (discount rate)" dataDxfId="1">
      <calculatedColumnFormula>Table17[[#This Row],[CAPM (cost of equity)]]*(Table17[[#This Row],[value of equity]]/22000000)+Table17[[#This Row],[intrest rate (cost of debt)]]*(Table17[[#This Row],[value of debt ]]/22000000)*(1-Table17[[#This Row],[tax rate]])</calculatedColumnFormula>
    </tableColumn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8169CE39-E635-EE42-B3C2-B101BC0B3200}" name="Table18" displayName="Table18" ref="H12:I20" totalsRowShown="0">
  <autoFilter ref="H12:I20" xr:uid="{8169CE39-E635-EE42-B3C2-B101BC0B3200}"/>
  <tableColumns count="2">
    <tableColumn id="1" xr3:uid="{1C507B1C-F7F4-C74D-B655-337E1DE8438F}" name="calculations for entire 10 year timeline at 5%"/>
    <tableColumn id="2" xr3:uid="{1685EFF8-20D0-6445-94C5-3DBB961635CD}" name="percenatges"/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154F81-15D2-A247-8828-B30723E5556C}" name="Table1" displayName="Table1" ref="A1:B5" totalsRowShown="0">
  <autoFilter ref="A1:B5" xr:uid="{E8154F81-15D2-A247-8828-B30723E5556C}"/>
  <tableColumns count="2">
    <tableColumn id="1" xr3:uid="{45DC77D3-A1A0-FD4B-A86F-DE7860813EFD}" name="Investment "/>
    <tableColumn id="2" xr3:uid="{D521BCAA-CD7E-0140-998D-91A09E7CBCCA}" name="Average return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Relationship Id="rId6" Type="http://schemas.openxmlformats.org/officeDocument/2006/relationships/table" Target="../tables/table10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1F458-736E-F942-8630-9A79B9E443AE}">
  <dimension ref="A1:B25"/>
  <sheetViews>
    <sheetView zoomScale="50" workbookViewId="0">
      <selection activeCell="B25" sqref="B25"/>
    </sheetView>
  </sheetViews>
  <sheetFormatPr baseColWidth="10" defaultColWidth="11" defaultRowHeight="16" x14ac:dyDescent="0.2"/>
  <cols>
    <col min="1" max="1" width="21.6640625" bestFit="1" customWidth="1"/>
    <col min="2" max="2" width="54.83203125" bestFit="1" customWidth="1"/>
  </cols>
  <sheetData>
    <row r="1" spans="1:2" ht="16" customHeight="1" x14ac:dyDescent="0.2">
      <c r="A1" s="67" t="s">
        <v>0</v>
      </c>
      <c r="B1" s="63" t="s">
        <v>1</v>
      </c>
    </row>
    <row r="2" spans="1:2" ht="16" customHeight="1" x14ac:dyDescent="0.2">
      <c r="A2" s="68"/>
      <c r="B2" s="63" t="s">
        <v>2</v>
      </c>
    </row>
    <row r="3" spans="1:2" ht="16" customHeight="1" x14ac:dyDescent="0.2">
      <c r="A3" s="68"/>
      <c r="B3" s="63" t="s">
        <v>3</v>
      </c>
    </row>
    <row r="4" spans="1:2" ht="16" customHeight="1" x14ac:dyDescent="0.2">
      <c r="A4" s="69"/>
      <c r="B4" s="63" t="s">
        <v>4</v>
      </c>
    </row>
    <row r="5" spans="1:2" x14ac:dyDescent="0.2">
      <c r="A5" s="3"/>
      <c r="B5" s="2"/>
    </row>
    <row r="6" spans="1:2" ht="16" customHeight="1" x14ac:dyDescent="0.2">
      <c r="A6" s="70" t="s">
        <v>5</v>
      </c>
      <c r="B6" s="63" t="s">
        <v>6</v>
      </c>
    </row>
    <row r="7" spans="1:2" ht="16" customHeight="1" x14ac:dyDescent="0.2">
      <c r="A7" s="71"/>
      <c r="B7" s="63" t="s">
        <v>7</v>
      </c>
    </row>
    <row r="8" spans="1:2" ht="16" customHeight="1" x14ac:dyDescent="0.2">
      <c r="A8" s="71"/>
      <c r="B8" s="63" t="s">
        <v>6</v>
      </c>
    </row>
    <row r="9" spans="1:2" ht="16" customHeight="1" x14ac:dyDescent="0.2">
      <c r="A9" s="71"/>
      <c r="B9" s="63" t="s">
        <v>7</v>
      </c>
    </row>
    <row r="10" spans="1:2" ht="16" customHeight="1" x14ac:dyDescent="0.2">
      <c r="A10" s="72"/>
      <c r="B10" s="63" t="s">
        <v>8</v>
      </c>
    </row>
    <row r="11" spans="1:2" x14ac:dyDescent="0.2">
      <c r="B11" s="2"/>
    </row>
    <row r="12" spans="1:2" ht="16" customHeight="1" x14ac:dyDescent="0.2">
      <c r="A12" s="70" t="s">
        <v>9</v>
      </c>
      <c r="B12" s="63" t="s">
        <v>10</v>
      </c>
    </row>
    <row r="13" spans="1:2" ht="16" customHeight="1" x14ac:dyDescent="0.2">
      <c r="A13" s="71"/>
      <c r="B13" s="63" t="s">
        <v>11</v>
      </c>
    </row>
    <row r="14" spans="1:2" ht="16" customHeight="1" x14ac:dyDescent="0.2">
      <c r="A14" s="71"/>
      <c r="B14" s="63" t="s">
        <v>12</v>
      </c>
    </row>
    <row r="15" spans="1:2" ht="16" customHeight="1" x14ac:dyDescent="0.2">
      <c r="A15" s="71"/>
      <c r="B15" s="63" t="s">
        <v>13</v>
      </c>
    </row>
    <row r="16" spans="1:2" ht="16" customHeight="1" x14ac:dyDescent="0.2">
      <c r="A16" s="72"/>
      <c r="B16" s="63" t="s">
        <v>14</v>
      </c>
    </row>
    <row r="17" spans="1:2" x14ac:dyDescent="0.2">
      <c r="B17" s="2"/>
    </row>
    <row r="18" spans="1:2" x14ac:dyDescent="0.2">
      <c r="A18" s="66" t="s">
        <v>15</v>
      </c>
      <c r="B18" s="64" t="s">
        <v>16</v>
      </c>
    </row>
    <row r="19" spans="1:2" x14ac:dyDescent="0.2">
      <c r="A19" s="4"/>
      <c r="B19" s="4"/>
    </row>
    <row r="20" spans="1:2" ht="16" customHeight="1" x14ac:dyDescent="0.2">
      <c r="A20" s="70" t="s">
        <v>17</v>
      </c>
      <c r="B20" s="63" t="s">
        <v>18</v>
      </c>
    </row>
    <row r="21" spans="1:2" ht="16" customHeight="1" x14ac:dyDescent="0.2">
      <c r="A21" s="72"/>
      <c r="B21" s="64" t="s">
        <v>19</v>
      </c>
    </row>
    <row r="22" spans="1:2" x14ac:dyDescent="0.2">
      <c r="B22" s="4"/>
    </row>
    <row r="23" spans="1:2" x14ac:dyDescent="0.2">
      <c r="A23" s="66" t="s">
        <v>20</v>
      </c>
      <c r="B23" s="65">
        <v>0.08</v>
      </c>
    </row>
    <row r="25" spans="1:2" x14ac:dyDescent="0.2">
      <c r="A25" s="66" t="s">
        <v>21</v>
      </c>
      <c r="B25" s="9" t="s">
        <v>22</v>
      </c>
    </row>
  </sheetData>
  <mergeCells count="4">
    <mergeCell ref="A1:A4"/>
    <mergeCell ref="A6:A10"/>
    <mergeCell ref="A12:A16"/>
    <mergeCell ref="A20:A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320EC-A290-4880-B796-9D35F8369979}">
  <dimension ref="A1:D20"/>
  <sheetViews>
    <sheetView workbookViewId="0"/>
  </sheetViews>
  <sheetFormatPr baseColWidth="10" defaultColWidth="8.83203125" defaultRowHeight="16" x14ac:dyDescent="0.2"/>
  <cols>
    <col min="1" max="1" width="6.6640625" customWidth="1"/>
    <col min="2" max="2" width="23.5" bestFit="1" customWidth="1"/>
    <col min="3" max="3" width="16.1640625" bestFit="1" customWidth="1"/>
    <col min="4" max="4" width="12" bestFit="1" customWidth="1"/>
  </cols>
  <sheetData>
    <row r="1" spans="1:4" x14ac:dyDescent="0.2">
      <c r="A1" s="11" t="s">
        <v>23</v>
      </c>
      <c r="B1" s="12" t="s">
        <v>24</v>
      </c>
      <c r="C1" s="12" t="s">
        <v>25</v>
      </c>
      <c r="D1" s="13" t="s">
        <v>26</v>
      </c>
    </row>
    <row r="2" spans="1:4" x14ac:dyDescent="0.2">
      <c r="A2" s="14">
        <v>1</v>
      </c>
      <c r="B2" s="10">
        <v>1000000</v>
      </c>
      <c r="C2" s="9">
        <v>0</v>
      </c>
      <c r="D2" s="15">
        <f>-G11</f>
        <v>0</v>
      </c>
    </row>
    <row r="3" spans="1:4" x14ac:dyDescent="0.2">
      <c r="A3" s="14">
        <v>2</v>
      </c>
      <c r="B3" s="10">
        <v>500000</v>
      </c>
      <c r="C3" s="9">
        <v>0</v>
      </c>
      <c r="D3" s="15">
        <v>500000</v>
      </c>
    </row>
    <row r="4" spans="1:4" x14ac:dyDescent="0.2">
      <c r="A4" s="14">
        <v>3</v>
      </c>
      <c r="B4" s="10">
        <v>500000</v>
      </c>
      <c r="C4" s="9">
        <v>0</v>
      </c>
      <c r="D4" s="15">
        <v>500000</v>
      </c>
    </row>
    <row r="5" spans="1:4" x14ac:dyDescent="0.2">
      <c r="A5" s="14">
        <v>4</v>
      </c>
      <c r="B5" s="9">
        <v>0</v>
      </c>
      <c r="C5" s="9">
        <f>C$20/15</f>
        <v>1000000</v>
      </c>
      <c r="D5" s="15">
        <f>B5+C5</f>
        <v>1000000</v>
      </c>
    </row>
    <row r="6" spans="1:4" x14ac:dyDescent="0.2">
      <c r="A6" s="14">
        <v>5</v>
      </c>
      <c r="B6" s="9">
        <v>0</v>
      </c>
      <c r="C6" s="9">
        <f>C$20/15</f>
        <v>1000000</v>
      </c>
      <c r="D6" s="15">
        <f t="shared" ref="D6:D19" si="0">B6+C6</f>
        <v>1000000</v>
      </c>
    </row>
    <row r="7" spans="1:4" x14ac:dyDescent="0.2">
      <c r="A7" s="14">
        <v>6</v>
      </c>
      <c r="B7" s="9">
        <v>0</v>
      </c>
      <c r="C7" s="9">
        <f t="shared" ref="C7:C19" si="1">C$20/15</f>
        <v>1000000</v>
      </c>
      <c r="D7" s="15">
        <f t="shared" si="0"/>
        <v>1000000</v>
      </c>
    </row>
    <row r="8" spans="1:4" x14ac:dyDescent="0.2">
      <c r="A8" s="14">
        <v>7</v>
      </c>
      <c r="B8" s="9">
        <v>0</v>
      </c>
      <c r="C8" s="9">
        <f t="shared" si="1"/>
        <v>1000000</v>
      </c>
      <c r="D8" s="15">
        <f t="shared" si="0"/>
        <v>1000000</v>
      </c>
    </row>
    <row r="9" spans="1:4" x14ac:dyDescent="0.2">
      <c r="A9" s="14">
        <v>8</v>
      </c>
      <c r="B9" s="9">
        <v>0</v>
      </c>
      <c r="C9" s="9">
        <f t="shared" si="1"/>
        <v>1000000</v>
      </c>
      <c r="D9" s="15">
        <f t="shared" si="0"/>
        <v>1000000</v>
      </c>
    </row>
    <row r="10" spans="1:4" x14ac:dyDescent="0.2">
      <c r="A10" s="14">
        <v>9</v>
      </c>
      <c r="B10" s="9">
        <v>0</v>
      </c>
      <c r="C10" s="9">
        <f t="shared" si="1"/>
        <v>1000000</v>
      </c>
      <c r="D10" s="15">
        <f t="shared" si="0"/>
        <v>1000000</v>
      </c>
    </row>
    <row r="11" spans="1:4" x14ac:dyDescent="0.2">
      <c r="A11" s="14">
        <v>10</v>
      </c>
      <c r="B11" s="9">
        <v>0</v>
      </c>
      <c r="C11" s="9">
        <f t="shared" si="1"/>
        <v>1000000</v>
      </c>
      <c r="D11" s="15">
        <f t="shared" si="0"/>
        <v>1000000</v>
      </c>
    </row>
    <row r="12" spans="1:4" x14ac:dyDescent="0.2">
      <c r="A12" s="14">
        <v>11</v>
      </c>
      <c r="B12" s="9">
        <v>0</v>
      </c>
      <c r="C12" s="9">
        <f t="shared" si="1"/>
        <v>1000000</v>
      </c>
      <c r="D12" s="15">
        <f t="shared" si="0"/>
        <v>1000000</v>
      </c>
    </row>
    <row r="13" spans="1:4" x14ac:dyDescent="0.2">
      <c r="A13" s="14">
        <v>12</v>
      </c>
      <c r="B13" s="9">
        <v>0</v>
      </c>
      <c r="C13" s="9">
        <f t="shared" si="1"/>
        <v>1000000</v>
      </c>
      <c r="D13" s="15">
        <f t="shared" si="0"/>
        <v>1000000</v>
      </c>
    </row>
    <row r="14" spans="1:4" x14ac:dyDescent="0.2">
      <c r="A14" s="14">
        <v>13</v>
      </c>
      <c r="B14" s="9">
        <v>0</v>
      </c>
      <c r="C14" s="9">
        <f t="shared" si="1"/>
        <v>1000000</v>
      </c>
      <c r="D14" s="15">
        <f t="shared" si="0"/>
        <v>1000000</v>
      </c>
    </row>
    <row r="15" spans="1:4" x14ac:dyDescent="0.2">
      <c r="A15" s="14">
        <v>14</v>
      </c>
      <c r="B15" s="9">
        <v>0</v>
      </c>
      <c r="C15" s="9">
        <f t="shared" si="1"/>
        <v>1000000</v>
      </c>
      <c r="D15" s="15">
        <f t="shared" si="0"/>
        <v>1000000</v>
      </c>
    </row>
    <row r="16" spans="1:4" x14ac:dyDescent="0.2">
      <c r="A16" s="14">
        <v>15</v>
      </c>
      <c r="B16" s="9">
        <v>0</v>
      </c>
      <c r="C16" s="9">
        <f t="shared" si="1"/>
        <v>1000000</v>
      </c>
      <c r="D16" s="15">
        <f t="shared" si="0"/>
        <v>1000000</v>
      </c>
    </row>
    <row r="17" spans="1:4" x14ac:dyDescent="0.2">
      <c r="A17" s="14">
        <v>16</v>
      </c>
      <c r="B17" s="9">
        <v>0</v>
      </c>
      <c r="C17" s="9">
        <f t="shared" si="1"/>
        <v>1000000</v>
      </c>
      <c r="D17" s="15">
        <f t="shared" si="0"/>
        <v>1000000</v>
      </c>
    </row>
    <row r="18" spans="1:4" x14ac:dyDescent="0.2">
      <c r="A18" s="14">
        <v>17</v>
      </c>
      <c r="B18" s="9">
        <v>0</v>
      </c>
      <c r="C18" s="9">
        <f t="shared" si="1"/>
        <v>1000000</v>
      </c>
      <c r="D18" s="15">
        <f t="shared" si="0"/>
        <v>1000000</v>
      </c>
    </row>
    <row r="19" spans="1:4" x14ac:dyDescent="0.2">
      <c r="A19" s="14">
        <v>18</v>
      </c>
      <c r="B19" s="9">
        <v>0</v>
      </c>
      <c r="C19" s="9">
        <f t="shared" si="1"/>
        <v>1000000</v>
      </c>
      <c r="D19" s="15">
        <f t="shared" si="0"/>
        <v>1000000</v>
      </c>
    </row>
    <row r="20" spans="1:4" x14ac:dyDescent="0.2">
      <c r="A20" s="16" t="s">
        <v>27</v>
      </c>
      <c r="B20" s="17">
        <f>SUM(B2:B19)</f>
        <v>2000000</v>
      </c>
      <c r="C20" s="17">
        <v>15000000</v>
      </c>
      <c r="D20" s="18">
        <f>SUM(D2:D19)</f>
        <v>16000000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FB62D-1459-4716-A940-202CE6836873}">
  <dimension ref="A1:I10"/>
  <sheetViews>
    <sheetView workbookViewId="0">
      <selection activeCell="A11" sqref="A11:XFD11"/>
    </sheetView>
  </sheetViews>
  <sheetFormatPr baseColWidth="10" defaultColWidth="8.83203125" defaultRowHeight="16" x14ac:dyDescent="0.2"/>
  <cols>
    <col min="2" max="2" width="15.33203125" customWidth="1"/>
    <col min="3" max="3" width="24.1640625" customWidth="1"/>
    <col min="4" max="4" width="25.33203125" customWidth="1"/>
    <col min="5" max="5" width="19.1640625" customWidth="1"/>
    <col min="6" max="6" width="21.6640625" customWidth="1"/>
    <col min="7" max="7" width="17.6640625" customWidth="1"/>
    <col min="8" max="8" width="19.6640625" customWidth="1"/>
    <col min="9" max="9" width="12.6640625" customWidth="1"/>
  </cols>
  <sheetData>
    <row r="1" spans="1:9" x14ac:dyDescent="0.2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</row>
    <row r="2" spans="1:9" x14ac:dyDescent="0.2">
      <c r="A2">
        <v>2027</v>
      </c>
      <c r="B2" s="8">
        <v>0.8</v>
      </c>
      <c r="C2">
        <v>1200</v>
      </c>
      <c r="D2">
        <v>2500</v>
      </c>
      <c r="E2">
        <f>3000*C2*B2</f>
        <v>2880000</v>
      </c>
      <c r="F2">
        <f>7000*D2*B2</f>
        <v>14000000</v>
      </c>
      <c r="G2">
        <f>E2+F2</f>
        <v>16880000</v>
      </c>
      <c r="H2">
        <f>G2*10%</f>
        <v>1688000</v>
      </c>
      <c r="I2">
        <f>G2+H2</f>
        <v>18568000</v>
      </c>
    </row>
    <row r="3" spans="1:9" x14ac:dyDescent="0.2">
      <c r="A3">
        <v>2028</v>
      </c>
      <c r="B3" s="8">
        <v>0.85</v>
      </c>
      <c r="C3">
        <f>C2*(1+0.025)</f>
        <v>1230</v>
      </c>
      <c r="D3">
        <f>D2*(1+0.025)</f>
        <v>2562.5</v>
      </c>
      <c r="E3">
        <f t="shared" ref="E3:E10" si="0">3000*C3*B3</f>
        <v>3136500</v>
      </c>
      <c r="F3">
        <f t="shared" ref="F3:F10" si="1">7000*D3*B3</f>
        <v>15246875</v>
      </c>
      <c r="G3">
        <f t="shared" ref="G3:G10" si="2">E3+F3</f>
        <v>18383375</v>
      </c>
      <c r="H3">
        <f t="shared" ref="H3:H10" si="3">G3*10%</f>
        <v>1838337.5</v>
      </c>
      <c r="I3">
        <f t="shared" ref="I3:I10" si="4">G3+H3</f>
        <v>20221712.5</v>
      </c>
    </row>
    <row r="4" spans="1:9" x14ac:dyDescent="0.2">
      <c r="A4">
        <v>2029</v>
      </c>
      <c r="B4" s="8">
        <v>0.9</v>
      </c>
      <c r="C4">
        <f t="shared" ref="C4:C10" si="5">C3*(1+0.025)</f>
        <v>1260.75</v>
      </c>
      <c r="D4">
        <f t="shared" ref="D4:D10" si="6">D3*(1+0.025)</f>
        <v>2626.5624999999995</v>
      </c>
      <c r="E4">
        <f t="shared" si="0"/>
        <v>3404025</v>
      </c>
      <c r="F4">
        <f t="shared" si="1"/>
        <v>16547343.749999996</v>
      </c>
      <c r="G4">
        <f t="shared" si="2"/>
        <v>19951368.749999996</v>
      </c>
      <c r="H4">
        <f t="shared" si="3"/>
        <v>1995136.8749999998</v>
      </c>
      <c r="I4">
        <f t="shared" si="4"/>
        <v>21946505.624999996</v>
      </c>
    </row>
    <row r="5" spans="1:9" x14ac:dyDescent="0.2">
      <c r="A5">
        <v>2030</v>
      </c>
      <c r="B5" s="8">
        <v>0.95</v>
      </c>
      <c r="C5">
        <f t="shared" si="5"/>
        <v>1292.26875</v>
      </c>
      <c r="D5">
        <f t="shared" si="6"/>
        <v>2692.2265624999991</v>
      </c>
      <c r="E5">
        <f t="shared" si="0"/>
        <v>3682965.9375</v>
      </c>
      <c r="F5">
        <f t="shared" si="1"/>
        <v>17903306.640624993</v>
      </c>
      <c r="G5">
        <f t="shared" si="2"/>
        <v>21586272.578124993</v>
      </c>
      <c r="H5">
        <f t="shared" si="3"/>
        <v>2158627.2578124995</v>
      </c>
      <c r="I5">
        <f t="shared" si="4"/>
        <v>23744899.835937493</v>
      </c>
    </row>
    <row r="6" spans="1:9" x14ac:dyDescent="0.2">
      <c r="A6">
        <v>2031</v>
      </c>
      <c r="B6" s="8">
        <v>0.95</v>
      </c>
      <c r="C6">
        <f t="shared" si="5"/>
        <v>1324.5754687499998</v>
      </c>
      <c r="D6">
        <f t="shared" si="6"/>
        <v>2759.5322265624986</v>
      </c>
      <c r="E6">
        <f t="shared" si="0"/>
        <v>3775040.0859374995</v>
      </c>
      <c r="F6">
        <f t="shared" si="1"/>
        <v>18350889.306640614</v>
      </c>
      <c r="G6">
        <f t="shared" si="2"/>
        <v>22125929.392578114</v>
      </c>
      <c r="H6">
        <f t="shared" si="3"/>
        <v>2212592.9392578113</v>
      </c>
      <c r="I6">
        <f t="shared" si="4"/>
        <v>24338522.331835926</v>
      </c>
    </row>
    <row r="7" spans="1:9" x14ac:dyDescent="0.2">
      <c r="A7">
        <v>2032</v>
      </c>
      <c r="B7" s="8">
        <v>0.95</v>
      </c>
      <c r="C7">
        <f t="shared" si="5"/>
        <v>1357.6898554687498</v>
      </c>
      <c r="D7">
        <f t="shared" si="6"/>
        <v>2828.520532226561</v>
      </c>
      <c r="E7">
        <f t="shared" si="0"/>
        <v>3869416.0880859368</v>
      </c>
      <c r="F7">
        <f t="shared" si="1"/>
        <v>18809661.539306629</v>
      </c>
      <c r="G7">
        <f t="shared" si="2"/>
        <v>22679077.627392568</v>
      </c>
      <c r="H7">
        <f t="shared" si="3"/>
        <v>2267907.762739257</v>
      </c>
      <c r="I7">
        <f t="shared" si="4"/>
        <v>24946985.390131824</v>
      </c>
    </row>
    <row r="8" spans="1:9" x14ac:dyDescent="0.2">
      <c r="A8">
        <v>2033</v>
      </c>
      <c r="B8" s="8">
        <v>0.95</v>
      </c>
      <c r="C8">
        <f t="shared" si="5"/>
        <v>1391.6321018554684</v>
      </c>
      <c r="D8">
        <f t="shared" si="6"/>
        <v>2899.233545532225</v>
      </c>
      <c r="E8">
        <f t="shared" si="0"/>
        <v>3966151.4902880844</v>
      </c>
      <c r="F8">
        <f t="shared" si="1"/>
        <v>19279903.077789295</v>
      </c>
      <c r="G8">
        <f t="shared" si="2"/>
        <v>23246054.568077378</v>
      </c>
      <c r="H8">
        <f t="shared" si="3"/>
        <v>2324605.4568077377</v>
      </c>
      <c r="I8">
        <f t="shared" si="4"/>
        <v>25570660.024885114</v>
      </c>
    </row>
    <row r="9" spans="1:9" x14ac:dyDescent="0.2">
      <c r="A9">
        <v>2034</v>
      </c>
      <c r="B9" s="8">
        <v>0.95</v>
      </c>
      <c r="C9">
        <f t="shared" si="5"/>
        <v>1426.422904401855</v>
      </c>
      <c r="D9">
        <f t="shared" si="6"/>
        <v>2971.7143841705301</v>
      </c>
      <c r="E9">
        <f t="shared" si="0"/>
        <v>4065305.2775452863</v>
      </c>
      <c r="F9">
        <f t="shared" si="1"/>
        <v>19761900.654734023</v>
      </c>
      <c r="G9">
        <f t="shared" si="2"/>
        <v>23827205.932279311</v>
      </c>
      <c r="H9">
        <f t="shared" si="3"/>
        <v>2382720.5932279313</v>
      </c>
      <c r="I9">
        <f t="shared" si="4"/>
        <v>26209926.525507241</v>
      </c>
    </row>
    <row r="10" spans="1:9" x14ac:dyDescent="0.2">
      <c r="A10">
        <v>2035</v>
      </c>
      <c r="B10" s="8">
        <v>0.95</v>
      </c>
      <c r="C10">
        <f t="shared" si="5"/>
        <v>1462.0834770119013</v>
      </c>
      <c r="D10">
        <f t="shared" si="6"/>
        <v>3046.0072437747931</v>
      </c>
      <c r="E10">
        <f t="shared" si="0"/>
        <v>4166937.9094839185</v>
      </c>
      <c r="F10">
        <f t="shared" si="1"/>
        <v>20255948.171102371</v>
      </c>
      <c r="G10">
        <f t="shared" si="2"/>
        <v>24422886.080586288</v>
      </c>
      <c r="H10">
        <f t="shared" si="3"/>
        <v>2442288.6080586291</v>
      </c>
      <c r="I10">
        <f t="shared" si="4"/>
        <v>26865174.688644916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FB301-71A5-4B30-92DD-E8807538BCC2}">
  <dimension ref="A1:G14"/>
  <sheetViews>
    <sheetView workbookViewId="0">
      <selection activeCell="E25" sqref="E25"/>
    </sheetView>
  </sheetViews>
  <sheetFormatPr baseColWidth="10" defaultColWidth="8.83203125" defaultRowHeight="16" x14ac:dyDescent="0.2"/>
  <cols>
    <col min="2" max="2" width="18.5" customWidth="1"/>
    <col min="3" max="3" width="18.1640625" customWidth="1"/>
    <col min="6" max="6" width="13.1640625" customWidth="1"/>
    <col min="7" max="7" width="17.1640625" customWidth="1"/>
  </cols>
  <sheetData>
    <row r="1" spans="1:7" x14ac:dyDescent="0.2">
      <c r="A1" s="1" t="s">
        <v>37</v>
      </c>
      <c r="E1" s="1" t="s">
        <v>37</v>
      </c>
      <c r="F1" s="1"/>
      <c r="G1" s="1"/>
    </row>
    <row r="2" spans="1:7" x14ac:dyDescent="0.2">
      <c r="A2" s="1" t="s">
        <v>38</v>
      </c>
      <c r="E2" s="1" t="s">
        <v>38</v>
      </c>
      <c r="F2" s="1"/>
      <c r="G2" s="28"/>
    </row>
    <row r="3" spans="1:7" x14ac:dyDescent="0.2">
      <c r="E3" s="28"/>
      <c r="F3" s="28"/>
      <c r="G3" s="28"/>
    </row>
    <row r="4" spans="1:7" x14ac:dyDescent="0.2">
      <c r="A4" t="s">
        <v>28</v>
      </c>
      <c r="B4" t="s">
        <v>39</v>
      </c>
      <c r="C4" t="s">
        <v>40</v>
      </c>
      <c r="E4" s="28" t="s">
        <v>28</v>
      </c>
      <c r="F4" s="28" t="s">
        <v>39</v>
      </c>
      <c r="G4" s="28" t="s">
        <v>40</v>
      </c>
    </row>
    <row r="5" spans="1:7" x14ac:dyDescent="0.2">
      <c r="A5">
        <v>2026</v>
      </c>
      <c r="B5" s="20">
        <v>0</v>
      </c>
      <c r="C5" s="5">
        <v>2.5000000000000001E-2</v>
      </c>
      <c r="E5" s="28">
        <v>1</v>
      </c>
      <c r="F5" s="28" t="s">
        <v>41</v>
      </c>
      <c r="G5" s="29">
        <v>2.5000000000000001E-2</v>
      </c>
    </row>
    <row r="6" spans="1:7" x14ac:dyDescent="0.2">
      <c r="A6">
        <v>2027</v>
      </c>
      <c r="B6" s="20">
        <v>1200000</v>
      </c>
      <c r="C6" s="5">
        <v>2.5000000000000001E-2</v>
      </c>
      <c r="E6" s="28">
        <v>2</v>
      </c>
      <c r="F6" s="30">
        <v>1200000</v>
      </c>
      <c r="G6" s="29">
        <v>2.5000000000000001E-2</v>
      </c>
    </row>
    <row r="7" spans="1:7" x14ac:dyDescent="0.2">
      <c r="A7">
        <v>2028</v>
      </c>
      <c r="B7" s="20">
        <f t="shared" ref="B7:B14" si="0">B6*(1+2.5%)</f>
        <v>1230000</v>
      </c>
      <c r="C7" s="5">
        <v>2.5000000000000001E-2</v>
      </c>
      <c r="E7" s="28">
        <v>3</v>
      </c>
      <c r="F7" s="30">
        <v>1230000</v>
      </c>
      <c r="G7" s="29">
        <v>2.5000000000000001E-2</v>
      </c>
    </row>
    <row r="8" spans="1:7" x14ac:dyDescent="0.2">
      <c r="A8">
        <v>2029</v>
      </c>
      <c r="B8" s="20">
        <f t="shared" si="0"/>
        <v>1260750</v>
      </c>
      <c r="C8" s="5">
        <v>2.5000000000000001E-2</v>
      </c>
      <c r="E8" s="28">
        <v>4</v>
      </c>
      <c r="F8" s="30">
        <v>1260750</v>
      </c>
      <c r="G8" s="29">
        <v>2.5000000000000001E-2</v>
      </c>
    </row>
    <row r="9" spans="1:7" x14ac:dyDescent="0.2">
      <c r="A9">
        <v>2030</v>
      </c>
      <c r="B9" s="20">
        <f t="shared" si="0"/>
        <v>1292268.75</v>
      </c>
      <c r="C9" s="5">
        <v>2.5000000000000001E-2</v>
      </c>
      <c r="E9" s="28">
        <v>5</v>
      </c>
      <c r="F9" s="30">
        <v>1292268.75</v>
      </c>
      <c r="G9" s="29">
        <v>2.5000000000000001E-2</v>
      </c>
    </row>
    <row r="10" spans="1:7" x14ac:dyDescent="0.2">
      <c r="A10">
        <v>2031</v>
      </c>
      <c r="B10" s="20">
        <f t="shared" si="0"/>
        <v>1324575.46875</v>
      </c>
      <c r="C10" s="5">
        <v>2.5000000000000001E-2</v>
      </c>
      <c r="E10" s="28">
        <v>6</v>
      </c>
      <c r="F10" s="30">
        <v>1324575.47</v>
      </c>
      <c r="G10" s="29">
        <v>2.5000000000000001E-2</v>
      </c>
    </row>
    <row r="11" spans="1:7" x14ac:dyDescent="0.2">
      <c r="A11">
        <v>2032</v>
      </c>
      <c r="B11" s="20">
        <f t="shared" si="0"/>
        <v>1357689.8554687498</v>
      </c>
      <c r="C11" s="5">
        <v>2.5000000000000001E-2</v>
      </c>
      <c r="E11" s="28">
        <v>7</v>
      </c>
      <c r="F11" s="30">
        <v>1357689.86</v>
      </c>
      <c r="G11" s="29">
        <v>2.5000000000000001E-2</v>
      </c>
    </row>
    <row r="12" spans="1:7" x14ac:dyDescent="0.2">
      <c r="A12">
        <v>2033</v>
      </c>
      <c r="B12" s="20">
        <f t="shared" si="0"/>
        <v>1391632.1018554685</v>
      </c>
      <c r="C12" s="5">
        <v>2.5000000000000001E-2</v>
      </c>
      <c r="E12" s="28">
        <v>8</v>
      </c>
      <c r="F12" s="30">
        <v>1391632.1</v>
      </c>
      <c r="G12" s="29">
        <v>2.5000000000000001E-2</v>
      </c>
    </row>
    <row r="13" spans="1:7" x14ac:dyDescent="0.2">
      <c r="A13">
        <v>2034</v>
      </c>
      <c r="B13" s="20">
        <f t="shared" si="0"/>
        <v>1426422.9044018551</v>
      </c>
      <c r="C13" s="5">
        <v>2.5000000000000001E-2</v>
      </c>
      <c r="E13" s="28">
        <v>9</v>
      </c>
      <c r="F13" s="30">
        <v>1426422.9</v>
      </c>
      <c r="G13" s="29">
        <v>2.5000000000000001E-2</v>
      </c>
    </row>
    <row r="14" spans="1:7" x14ac:dyDescent="0.2">
      <c r="A14">
        <v>2035</v>
      </c>
      <c r="B14" s="20">
        <f t="shared" si="0"/>
        <v>1462083.4770119013</v>
      </c>
      <c r="C14" s="5">
        <v>2.5000000000000001E-2</v>
      </c>
      <c r="E14" s="28">
        <v>10</v>
      </c>
      <c r="F14" s="30">
        <v>1462083.48</v>
      </c>
      <c r="G14" s="29">
        <v>2.5000000000000001E-2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24322-4A9E-4652-985C-92ADECC6C727}">
  <dimension ref="A1:F6"/>
  <sheetViews>
    <sheetView workbookViewId="0">
      <selection activeCell="F7" sqref="F7"/>
    </sheetView>
  </sheetViews>
  <sheetFormatPr baseColWidth="10" defaultColWidth="8.83203125" defaultRowHeight="16" x14ac:dyDescent="0.2"/>
  <cols>
    <col min="2" max="2" width="15.5" customWidth="1"/>
    <col min="3" max="3" width="19" customWidth="1"/>
    <col min="4" max="4" width="17.1640625" customWidth="1"/>
    <col min="5" max="5" width="17.83203125" customWidth="1"/>
    <col min="6" max="6" width="48.6640625" bestFit="1" customWidth="1"/>
  </cols>
  <sheetData>
    <row r="1" spans="1:6" x14ac:dyDescent="0.2">
      <c r="A1" s="25" t="s">
        <v>28</v>
      </c>
      <c r="B1" s="19" t="s">
        <v>42</v>
      </c>
      <c r="C1" s="19" t="s">
        <v>43</v>
      </c>
      <c r="D1" s="19" t="s">
        <v>44</v>
      </c>
      <c r="E1" s="19" t="s">
        <v>45</v>
      </c>
      <c r="F1" s="19" t="s">
        <v>46</v>
      </c>
    </row>
    <row r="2" spans="1:6" x14ac:dyDescent="0.2">
      <c r="A2">
        <v>1</v>
      </c>
      <c r="B2" s="26">
        <v>15000000</v>
      </c>
      <c r="C2" s="26">
        <f>B2*3%</f>
        <v>450000</v>
      </c>
      <c r="D2" s="21">
        <f>E2-C2</f>
        <v>2825318.5710086403</v>
      </c>
      <c r="E2" s="21">
        <f>PMT(3%,5,-15000000)</f>
        <v>3275318.5710086403</v>
      </c>
      <c r="F2" s="21">
        <f>B2-D2</f>
        <v>12174681.428991359</v>
      </c>
    </row>
    <row r="3" spans="1:6" x14ac:dyDescent="0.2">
      <c r="A3">
        <v>2</v>
      </c>
      <c r="B3" s="27">
        <f>F2</f>
        <v>12174681.428991359</v>
      </c>
      <c r="C3" s="21">
        <f>B3*3%</f>
        <v>365240.44286974077</v>
      </c>
      <c r="D3" s="21">
        <f>E3-C3</f>
        <v>2910078.1281388998</v>
      </c>
      <c r="E3" s="21">
        <f>$E$2</f>
        <v>3275318.5710086403</v>
      </c>
      <c r="F3" s="21">
        <f>B3-D3</f>
        <v>9264603.3008524589</v>
      </c>
    </row>
    <row r="4" spans="1:6" x14ac:dyDescent="0.2">
      <c r="A4" s="2">
        <v>3</v>
      </c>
      <c r="B4" s="27">
        <f>F3</f>
        <v>9264603.3008524589</v>
      </c>
      <c r="C4" s="21">
        <f>B4*3%</f>
        <v>277938.09902557376</v>
      </c>
      <c r="D4" s="21">
        <f>E4-C4</f>
        <v>2997380.4719830668</v>
      </c>
      <c r="E4" s="21">
        <f>$E$2</f>
        <v>3275318.5710086403</v>
      </c>
      <c r="F4" s="21">
        <f>B4-D4</f>
        <v>6267222.8288693922</v>
      </c>
    </row>
    <row r="5" spans="1:6" x14ac:dyDescent="0.2">
      <c r="A5" s="2">
        <v>4</v>
      </c>
      <c r="B5" s="27">
        <f>F4</f>
        <v>6267222.8288693922</v>
      </c>
      <c r="C5" s="21">
        <f>B5*3%</f>
        <v>188016.68486608175</v>
      </c>
      <c r="D5" s="21">
        <f>E5-C5</f>
        <v>3087301.8861425584</v>
      </c>
      <c r="E5" s="21">
        <f>$E$2</f>
        <v>3275318.5710086403</v>
      </c>
      <c r="F5" s="21">
        <f>B5-D5</f>
        <v>3179920.9427268337</v>
      </c>
    </row>
    <row r="6" spans="1:6" x14ac:dyDescent="0.2">
      <c r="A6">
        <v>5</v>
      </c>
      <c r="B6" s="27">
        <f>F5</f>
        <v>3179920.9427268337</v>
      </c>
      <c r="C6" s="21">
        <f>B6*3%</f>
        <v>95397.628281805009</v>
      </c>
      <c r="D6" s="21">
        <f>E6-C6</f>
        <v>3179920.9427268351</v>
      </c>
      <c r="E6" s="21">
        <f>$E$2</f>
        <v>3275318.5710086403</v>
      </c>
      <c r="F6" s="21">
        <f>B6-D6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4CD03-0C8D-4DC2-94D5-F531B18DE6F5}">
  <dimension ref="A1:M52"/>
  <sheetViews>
    <sheetView zoomScale="84" workbookViewId="0">
      <selection activeCell="N13" sqref="N13"/>
    </sheetView>
  </sheetViews>
  <sheetFormatPr baseColWidth="10" defaultColWidth="8.83203125" defaultRowHeight="16" x14ac:dyDescent="0.2"/>
  <cols>
    <col min="2" max="2" width="16.33203125" customWidth="1"/>
    <col min="3" max="3" width="10.5" customWidth="1"/>
    <col min="4" max="4" width="19.83203125" customWidth="1"/>
    <col min="5" max="5" width="17.1640625" customWidth="1"/>
    <col min="6" max="6" width="15.33203125" customWidth="1"/>
    <col min="7" max="7" width="20.83203125" customWidth="1"/>
    <col min="8" max="8" width="15.6640625" customWidth="1"/>
    <col min="9" max="9" width="17.83203125" bestFit="1" customWidth="1"/>
    <col min="12" max="12" width="15" bestFit="1" customWidth="1"/>
  </cols>
  <sheetData>
    <row r="1" spans="1:12" x14ac:dyDescent="0.2">
      <c r="A1" s="19" t="s">
        <v>28</v>
      </c>
      <c r="B1" s="19" t="s">
        <v>47</v>
      </c>
      <c r="C1" s="19" t="s">
        <v>48</v>
      </c>
      <c r="D1" s="19" t="s">
        <v>49</v>
      </c>
      <c r="E1" s="19" t="s">
        <v>50</v>
      </c>
      <c r="F1" s="19" t="s">
        <v>51</v>
      </c>
      <c r="G1" s="19" t="s">
        <v>52</v>
      </c>
      <c r="H1" s="19" t="s">
        <v>53</v>
      </c>
      <c r="I1" s="19" t="s">
        <v>54</v>
      </c>
    </row>
    <row r="2" spans="1:12" x14ac:dyDescent="0.2">
      <c r="A2">
        <v>0</v>
      </c>
      <c r="B2" s="6">
        <v>-22000000</v>
      </c>
      <c r="C2">
        <v>0</v>
      </c>
      <c r="D2" s="7">
        <v>0</v>
      </c>
      <c r="E2">
        <v>0</v>
      </c>
      <c r="F2" s="6">
        <v>-22000000</v>
      </c>
      <c r="G2">
        <f>1/1.08^0</f>
        <v>1</v>
      </c>
      <c r="H2" s="6">
        <v>-22000000</v>
      </c>
      <c r="I2" s="8">
        <v>0.05</v>
      </c>
    </row>
    <row r="3" spans="1:12" x14ac:dyDescent="0.2">
      <c r="A3">
        <v>1</v>
      </c>
      <c r="B3" s="6">
        <v>-9000000</v>
      </c>
      <c r="C3">
        <v>18568000</v>
      </c>
      <c r="D3" s="7">
        <v>-1200000</v>
      </c>
      <c r="E3">
        <v>0</v>
      </c>
      <c r="F3" s="6">
        <v>-17000000</v>
      </c>
      <c r="G3">
        <f>1/1.0382^1</f>
        <v>0.96320554806395686</v>
      </c>
      <c r="H3" s="6">
        <f>F3*G3</f>
        <v>-16374494.317087267</v>
      </c>
      <c r="I3" s="8">
        <v>0.05</v>
      </c>
    </row>
    <row r="4" spans="1:12" x14ac:dyDescent="0.2">
      <c r="A4">
        <v>2</v>
      </c>
      <c r="B4" s="6">
        <v>-6000000</v>
      </c>
      <c r="C4">
        <v>20221712.5</v>
      </c>
      <c r="D4" s="7">
        <f>D3*(1+2.5%)</f>
        <v>-1230000</v>
      </c>
      <c r="E4" s="21">
        <v>3464622</v>
      </c>
      <c r="F4" s="6">
        <f>6060000-L5</f>
        <v>5870696.5710086403</v>
      </c>
      <c r="G4">
        <f>1/1.0382^2</f>
        <v>0.92776492782118747</v>
      </c>
      <c r="H4" s="6">
        <f>F4*G4</f>
        <v>5446626.3804619238</v>
      </c>
      <c r="I4" s="8">
        <v>0.05</v>
      </c>
      <c r="L4" s="49" t="s">
        <v>55</v>
      </c>
    </row>
    <row r="5" spans="1:12" x14ac:dyDescent="0.2">
      <c r="A5">
        <v>3</v>
      </c>
      <c r="B5">
        <v>0</v>
      </c>
      <c r="C5">
        <v>21946505.624999996</v>
      </c>
      <c r="D5" s="7">
        <f t="shared" ref="D5:D11" si="0">D4*(1+2.5%)</f>
        <v>-1260750</v>
      </c>
      <c r="E5" s="21">
        <v>3464622</v>
      </c>
      <c r="F5" s="6">
        <f>7020600-L5</f>
        <v>6831296.5710086403</v>
      </c>
      <c r="G5">
        <f>1/1.0382^3</f>
        <v>0.89362832577652418</v>
      </c>
      <c r="H5" s="6">
        <f t="shared" ref="H5:H12" si="1">F5*G5</f>
        <v>6104640.1176333614</v>
      </c>
      <c r="I5" s="8">
        <v>0.05</v>
      </c>
      <c r="L5" s="50">
        <f>E4-E22</f>
        <v>189303.42899135966</v>
      </c>
    </row>
    <row r="6" spans="1:12" x14ac:dyDescent="0.2">
      <c r="A6">
        <v>4</v>
      </c>
      <c r="B6">
        <v>0</v>
      </c>
      <c r="C6">
        <v>23744899.835937493</v>
      </c>
      <c r="D6" s="7">
        <f t="shared" si="0"/>
        <v>-1292268.75</v>
      </c>
      <c r="E6" s="21">
        <v>3464622</v>
      </c>
      <c r="F6" s="6">
        <f>8029620-L5</f>
        <v>7840316.5710086403</v>
      </c>
      <c r="G6">
        <f>1/1.0382^4</f>
        <v>0.86074776129505326</v>
      </c>
      <c r="H6" s="6">
        <f t="shared" si="1"/>
        <v>6748534.9363401961</v>
      </c>
      <c r="I6" s="8">
        <v>0.05</v>
      </c>
      <c r="L6" s="51">
        <f>E22-E41</f>
        <v>92942.571008640341</v>
      </c>
    </row>
    <row r="7" spans="1:12" x14ac:dyDescent="0.2">
      <c r="A7">
        <v>5</v>
      </c>
      <c r="B7">
        <v>0</v>
      </c>
      <c r="C7">
        <v>24338522.331835926</v>
      </c>
      <c r="D7" s="7">
        <f t="shared" si="0"/>
        <v>-1324575.46875</v>
      </c>
      <c r="E7" s="21">
        <v>3464622</v>
      </c>
      <c r="F7" s="6">
        <f>9088678-L5</f>
        <v>8899374.5710086413</v>
      </c>
      <c r="G7">
        <f>1/1.0382^5</f>
        <v>0.82907701916302579</v>
      </c>
      <c r="H7" s="6">
        <f t="shared" si="1"/>
        <v>7378266.9417470759</v>
      </c>
      <c r="I7" s="8">
        <v>0.05</v>
      </c>
    </row>
    <row r="8" spans="1:12" x14ac:dyDescent="0.2">
      <c r="A8">
        <v>6</v>
      </c>
      <c r="B8">
        <v>0</v>
      </c>
      <c r="C8">
        <v>24946985.390131824</v>
      </c>
      <c r="D8" s="7">
        <f t="shared" si="0"/>
        <v>-1357689.8554687498</v>
      </c>
      <c r="E8" s="21">
        <v>3464622</v>
      </c>
      <c r="F8" s="7">
        <f>C8-D8-E8</f>
        <v>22840053.245600574</v>
      </c>
      <c r="G8">
        <f>1/1.0382^6</f>
        <v>0.79857158463015387</v>
      </c>
      <c r="H8" s="6">
        <f t="shared" si="1"/>
        <v>18239417.51337634</v>
      </c>
      <c r="I8" s="8">
        <v>0.05</v>
      </c>
    </row>
    <row r="9" spans="1:12" x14ac:dyDescent="0.2">
      <c r="A9">
        <v>7</v>
      </c>
      <c r="B9">
        <v>0</v>
      </c>
      <c r="C9">
        <v>25570660.024885114</v>
      </c>
      <c r="D9" s="7">
        <f t="shared" si="0"/>
        <v>-1391632.1018554685</v>
      </c>
      <c r="E9">
        <v>0</v>
      </c>
      <c r="F9" s="7">
        <f t="shared" ref="F9:F12" si="2">C9-D9-E9</f>
        <v>26962292.126740582</v>
      </c>
      <c r="G9">
        <f>1/1.0382^7</f>
        <v>0.76918858084198982</v>
      </c>
      <c r="H9" s="6">
        <f t="shared" si="1"/>
        <v>20739087.217214745</v>
      </c>
      <c r="I9" s="8">
        <v>0.05</v>
      </c>
    </row>
    <row r="10" spans="1:12" x14ac:dyDescent="0.2">
      <c r="A10">
        <v>8</v>
      </c>
      <c r="B10">
        <v>0</v>
      </c>
      <c r="C10">
        <v>26209926.525507241</v>
      </c>
      <c r="D10" s="7">
        <f t="shared" si="0"/>
        <v>-1426422.9044018551</v>
      </c>
      <c r="E10">
        <v>0</v>
      </c>
      <c r="F10" s="7">
        <f t="shared" si="2"/>
        <v>27636349.429909095</v>
      </c>
      <c r="G10">
        <f>1/1.0382^8</f>
        <v>0.74088670857444605</v>
      </c>
      <c r="H10" s="6">
        <f t="shared" si="1"/>
        <v>20475403.966138616</v>
      </c>
      <c r="I10" s="8">
        <v>0.05</v>
      </c>
    </row>
    <row r="11" spans="1:12" x14ac:dyDescent="0.2">
      <c r="A11">
        <v>9</v>
      </c>
      <c r="B11">
        <v>0</v>
      </c>
      <c r="C11">
        <v>26865174.688644916</v>
      </c>
      <c r="D11" s="7">
        <f t="shared" si="0"/>
        <v>-1462083.4770119013</v>
      </c>
      <c r="E11">
        <v>0</v>
      </c>
      <c r="F11" s="7">
        <f t="shared" si="2"/>
        <v>28327258.165656816</v>
      </c>
      <c r="G11">
        <f>1/1.0382^9</f>
        <v>0.7136261881857503</v>
      </c>
      <c r="H11" s="6">
        <f t="shared" si="1"/>
        <v>20215073.266511343</v>
      </c>
      <c r="I11" s="8">
        <v>0.05</v>
      </c>
    </row>
    <row r="12" spans="1:12" x14ac:dyDescent="0.2">
      <c r="A12">
        <v>10</v>
      </c>
      <c r="B12">
        <v>0</v>
      </c>
      <c r="C12">
        <v>27536804.055861041</v>
      </c>
      <c r="D12" s="7">
        <f t="shared" ref="D12" si="3">D11*(1+2.5%)</f>
        <v>-1498635.5639371988</v>
      </c>
      <c r="E12">
        <v>0</v>
      </c>
      <c r="F12" s="7">
        <f t="shared" si="2"/>
        <v>29035439.619798239</v>
      </c>
      <c r="G12">
        <f>1/1.0382^10</f>
        <v>0.68736870370424807</v>
      </c>
      <c r="H12" s="6">
        <f t="shared" si="1"/>
        <v>19958052.492943682</v>
      </c>
      <c r="I12" s="8">
        <v>0.05</v>
      </c>
      <c r="L12" s="21"/>
    </row>
    <row r="14" spans="1:12" x14ac:dyDescent="0.2">
      <c r="A14" s="19" t="s">
        <v>27</v>
      </c>
      <c r="B14" s="6">
        <f>SUM(B2:B12)</f>
        <v>-37000000</v>
      </c>
      <c r="C14">
        <f>SUM(C2:C12)</f>
        <v>239949190.97780359</v>
      </c>
      <c r="D14" s="7">
        <f>SUM(D2:D12)</f>
        <v>-13444058.121425174</v>
      </c>
      <c r="E14" s="6">
        <f>SUM(E2:E12)</f>
        <v>17323110</v>
      </c>
      <c r="F14" s="6">
        <f>SUM(F2:F12)</f>
        <v>125243076.87173988</v>
      </c>
    </row>
    <row r="15" spans="1:12" s="42" customFormat="1" x14ac:dyDescent="0.2">
      <c r="D15" s="43"/>
      <c r="G15" s="44"/>
      <c r="H15" s="45"/>
    </row>
    <row r="16" spans="1:12" s="42" customFormat="1" x14ac:dyDescent="0.2"/>
    <row r="17" spans="1:13" s="42" customFormat="1" x14ac:dyDescent="0.2"/>
    <row r="18" spans="1:13" s="42" customFormat="1" x14ac:dyDescent="0.2">
      <c r="A18" s="46"/>
    </row>
    <row r="19" spans="1:13" x14ac:dyDescent="0.2">
      <c r="A19" s="19" t="s">
        <v>28</v>
      </c>
      <c r="B19" s="19" t="s">
        <v>47</v>
      </c>
      <c r="C19" s="19" t="s">
        <v>48</v>
      </c>
      <c r="D19" s="19" t="s">
        <v>49</v>
      </c>
      <c r="E19" s="19" t="s">
        <v>50</v>
      </c>
      <c r="F19" s="19" t="s">
        <v>51</v>
      </c>
      <c r="G19" s="19" t="s">
        <v>52</v>
      </c>
      <c r="H19" s="19" t="s">
        <v>53</v>
      </c>
      <c r="I19" s="19" t="s">
        <v>54</v>
      </c>
    </row>
    <row r="20" spans="1:13" x14ac:dyDescent="0.2">
      <c r="A20">
        <v>0</v>
      </c>
      <c r="B20" s="6">
        <v>-22000000</v>
      </c>
      <c r="C20">
        <v>0</v>
      </c>
      <c r="D20" s="7">
        <v>0</v>
      </c>
      <c r="E20">
        <v>0</v>
      </c>
      <c r="F20" s="6">
        <v>-22000000</v>
      </c>
      <c r="G20">
        <f>1/1.08^0</f>
        <v>1</v>
      </c>
      <c r="H20" s="6">
        <v>-22000000</v>
      </c>
      <c r="I20" s="8">
        <v>0.03</v>
      </c>
    </row>
    <row r="21" spans="1:13" x14ac:dyDescent="0.2">
      <c r="A21">
        <v>1</v>
      </c>
      <c r="B21" s="6">
        <v>-9000000</v>
      </c>
      <c r="C21">
        <v>18568000</v>
      </c>
      <c r="D21" s="7">
        <v>-1200000</v>
      </c>
      <c r="E21">
        <v>0</v>
      </c>
      <c r="F21" s="6">
        <v>-17000000</v>
      </c>
      <c r="G21">
        <f>1/1.0286^1</f>
        <v>0.97219521679953336</v>
      </c>
      <c r="H21" s="6">
        <f>F21*G21</f>
        <v>-16527318.685592066</v>
      </c>
      <c r="I21" s="8">
        <v>0.03</v>
      </c>
    </row>
    <row r="22" spans="1:13" x14ac:dyDescent="0.2">
      <c r="A22">
        <v>2</v>
      </c>
      <c r="B22" s="6">
        <v>-6000000</v>
      </c>
      <c r="C22">
        <v>20221712.5</v>
      </c>
      <c r="D22" s="7">
        <f>D21*(1+2.5%)</f>
        <v>-1230000</v>
      </c>
      <c r="E22" s="21">
        <f>PMT(3%, 5, -15000000)</f>
        <v>3275318.5710086403</v>
      </c>
      <c r="F22" s="6">
        <f>6060000</f>
        <v>6060000</v>
      </c>
      <c r="G22">
        <f>1/1.0286^2</f>
        <v>0.94516353956789168</v>
      </c>
      <c r="H22" s="6">
        <f>F22*G22</f>
        <v>5727691.049781424</v>
      </c>
      <c r="I22" s="8">
        <v>0.03</v>
      </c>
    </row>
    <row r="23" spans="1:13" x14ac:dyDescent="0.2">
      <c r="A23">
        <v>3</v>
      </c>
      <c r="B23">
        <v>0</v>
      </c>
      <c r="C23">
        <v>21946505.624999996</v>
      </c>
      <c r="D23" s="7">
        <f t="shared" ref="D23:D30" si="4">D22*(1+2.5%)</f>
        <v>-1260750</v>
      </c>
      <c r="E23" s="21">
        <f t="shared" ref="E23:E25" si="5">PMT(3%, 5, -15000000)</f>
        <v>3275318.5710086403</v>
      </c>
      <c r="F23" s="6">
        <f>7020600</f>
        <v>7020600</v>
      </c>
      <c r="G23">
        <f>1/1.0286^3</f>
        <v>0.91888347226122091</v>
      </c>
      <c r="H23" s="6">
        <f>F23*G23</f>
        <v>6451113.3053571275</v>
      </c>
      <c r="I23" s="8">
        <v>0.03</v>
      </c>
    </row>
    <row r="24" spans="1:13" x14ac:dyDescent="0.2">
      <c r="A24">
        <v>4</v>
      </c>
      <c r="B24">
        <v>0</v>
      </c>
      <c r="C24">
        <v>23744899.835937493</v>
      </c>
      <c r="D24" s="7">
        <f t="shared" si="4"/>
        <v>-1292268.75</v>
      </c>
      <c r="E24" s="21">
        <f>PMT(3%, 5, -15000000)</f>
        <v>3275318.5710086403</v>
      </c>
      <c r="F24" s="6">
        <f>8029620+L5</f>
        <v>8218923.4289913597</v>
      </c>
      <c r="G24">
        <f>1/1.0286^4</f>
        <v>0.8933341165285057</v>
      </c>
      <c r="H24" s="6">
        <f t="shared" ref="H24:H30" si="6">F24*G24</f>
        <v>7342244.7002534326</v>
      </c>
      <c r="I24" s="8">
        <v>0.03</v>
      </c>
    </row>
    <row r="25" spans="1:13" x14ac:dyDescent="0.2">
      <c r="A25">
        <v>5</v>
      </c>
      <c r="B25">
        <v>0</v>
      </c>
      <c r="C25">
        <v>24338522.331835926</v>
      </c>
      <c r="D25" s="7">
        <f t="shared" si="4"/>
        <v>-1324575.46875</v>
      </c>
      <c r="E25" s="21">
        <f t="shared" si="5"/>
        <v>3275318.5710086403</v>
      </c>
      <c r="F25" s="6">
        <f>9088678+L5</f>
        <v>9277981.4289913587</v>
      </c>
      <c r="G25">
        <f>1/1.0286^5</f>
        <v>0.86849515509285025</v>
      </c>
      <c r="H25" s="6">
        <f t="shared" si="6"/>
        <v>8057881.9201204348</v>
      </c>
      <c r="I25" s="8">
        <v>0.03</v>
      </c>
    </row>
    <row r="26" spans="1:13" x14ac:dyDescent="0.2">
      <c r="A26">
        <v>6</v>
      </c>
      <c r="B26">
        <v>0</v>
      </c>
      <c r="C26">
        <v>24946985.390131824</v>
      </c>
      <c r="D26" s="7">
        <f t="shared" si="4"/>
        <v>-1357689.8554687498</v>
      </c>
      <c r="E26" s="21">
        <f>PMT(3%, 5, -15000000)</f>
        <v>3275318.5710086403</v>
      </c>
      <c r="F26" s="7">
        <f>C26-D26-E26</f>
        <v>23029356.674591932</v>
      </c>
      <c r="G26">
        <f>1/1.0286^6</f>
        <v>0.84434683559483781</v>
      </c>
      <c r="H26" s="6">
        <f t="shared" si="6"/>
        <v>19444764.433976553</v>
      </c>
      <c r="I26" s="8">
        <v>0.03</v>
      </c>
    </row>
    <row r="27" spans="1:13" x14ac:dyDescent="0.2">
      <c r="A27">
        <v>7</v>
      </c>
      <c r="B27">
        <v>0</v>
      </c>
      <c r="C27">
        <v>25570660.024885114</v>
      </c>
      <c r="D27" s="7">
        <f t="shared" si="4"/>
        <v>-1391632.1018554685</v>
      </c>
      <c r="E27">
        <v>0</v>
      </c>
      <c r="F27" s="7">
        <f t="shared" ref="F27:F30" si="7">C27-D27-E27</f>
        <v>26962292.126740582</v>
      </c>
      <c r="G27">
        <f>1/1.0286^7</f>
        <v>0.82086995488512338</v>
      </c>
      <c r="H27" s="6">
        <f t="shared" si="6"/>
        <v>22132535.521677058</v>
      </c>
      <c r="I27" s="8">
        <v>0.03</v>
      </c>
    </row>
    <row r="28" spans="1:13" x14ac:dyDescent="0.2">
      <c r="A28">
        <v>8</v>
      </c>
      <c r="B28">
        <v>0</v>
      </c>
      <c r="C28">
        <v>26209926.525507241</v>
      </c>
      <c r="D28" s="7">
        <f t="shared" si="4"/>
        <v>-1426422.9044018551</v>
      </c>
      <c r="E28">
        <v>0</v>
      </c>
      <c r="F28" s="7">
        <f t="shared" si="7"/>
        <v>27636349.429909095</v>
      </c>
      <c r="G28">
        <f>1/1.0286^8</f>
        <v>0.79804584375376575</v>
      </c>
      <c r="H28" s="6">
        <f t="shared" si="6"/>
        <v>22055073.799065705</v>
      </c>
      <c r="I28" s="8">
        <v>0.03</v>
      </c>
      <c r="L28" s="21"/>
    </row>
    <row r="29" spans="1:13" x14ac:dyDescent="0.2">
      <c r="A29">
        <v>9</v>
      </c>
      <c r="B29">
        <v>0</v>
      </c>
      <c r="C29">
        <v>26865174.688644916</v>
      </c>
      <c r="D29" s="7">
        <f t="shared" si="4"/>
        <v>-1462083.4770119013</v>
      </c>
      <c r="E29">
        <v>0</v>
      </c>
      <c r="F29" s="7">
        <f t="shared" si="7"/>
        <v>28327258.165656816</v>
      </c>
      <c r="G29">
        <f>1/1.0286^9</f>
        <v>0.77585635208415882</v>
      </c>
      <c r="H29" s="6">
        <f t="shared" si="6"/>
        <v>21977883.184952699</v>
      </c>
      <c r="I29" s="8">
        <v>0.03</v>
      </c>
      <c r="M29" s="21"/>
    </row>
    <row r="30" spans="1:13" x14ac:dyDescent="0.2">
      <c r="A30">
        <v>10</v>
      </c>
      <c r="B30">
        <v>0</v>
      </c>
      <c r="C30">
        <v>27536804.055861041</v>
      </c>
      <c r="D30" s="7">
        <f t="shared" si="4"/>
        <v>-1498635.5639371988</v>
      </c>
      <c r="E30">
        <v>0</v>
      </c>
      <c r="F30" s="7">
        <f t="shared" si="7"/>
        <v>29035439.619798239</v>
      </c>
      <c r="G30">
        <f>1/1.0286^10</f>
        <v>0.75428383441975388</v>
      </c>
      <c r="H30" s="6">
        <f t="shared" si="6"/>
        <v>21900962.730484657</v>
      </c>
      <c r="I30" s="8">
        <v>0.03</v>
      </c>
    </row>
    <row r="32" spans="1:13" x14ac:dyDescent="0.2">
      <c r="A32" s="19" t="s">
        <v>27</v>
      </c>
      <c r="B32" s="6">
        <f>SUM(B20:B30)</f>
        <v>-37000000</v>
      </c>
      <c r="C32">
        <f>SUM(C20:C30)</f>
        <v>239949190.97780359</v>
      </c>
      <c r="D32" s="7">
        <f>SUM(D20:D30)</f>
        <v>-13444058.121425174</v>
      </c>
      <c r="E32" s="6">
        <f>SUM(E20:E30)</f>
        <v>16376592.855043203</v>
      </c>
      <c r="F32" s="6">
        <f>SUM(F20:F30)</f>
        <v>126568200.87467939</v>
      </c>
    </row>
    <row r="33" spans="1:12" x14ac:dyDescent="0.2">
      <c r="D33" s="7"/>
      <c r="G33" s="24"/>
      <c r="H33" s="21"/>
    </row>
    <row r="34" spans="1:12" s="42" customFormat="1" x14ac:dyDescent="0.2"/>
    <row r="35" spans="1:12" s="42" customFormat="1" x14ac:dyDescent="0.2"/>
    <row r="36" spans="1:12" s="42" customFormat="1" x14ac:dyDescent="0.2"/>
    <row r="37" spans="1:12" s="42" customFormat="1" x14ac:dyDescent="0.2"/>
    <row r="38" spans="1:12" x14ac:dyDescent="0.2">
      <c r="A38" s="19" t="s">
        <v>28</v>
      </c>
      <c r="B38" s="19" t="s">
        <v>47</v>
      </c>
      <c r="C38" s="19" t="s">
        <v>48</v>
      </c>
      <c r="D38" s="19" t="s">
        <v>49</v>
      </c>
      <c r="E38" s="19" t="s">
        <v>50</v>
      </c>
      <c r="F38" s="19" t="s">
        <v>51</v>
      </c>
      <c r="G38" s="19" t="s">
        <v>52</v>
      </c>
      <c r="H38" s="19" t="s">
        <v>53</v>
      </c>
      <c r="I38" s="19" t="s">
        <v>54</v>
      </c>
    </row>
    <row r="39" spans="1:12" x14ac:dyDescent="0.2">
      <c r="A39">
        <v>0</v>
      </c>
      <c r="B39" s="6">
        <v>-22000000</v>
      </c>
      <c r="C39">
        <v>0</v>
      </c>
      <c r="D39" s="7">
        <v>0</v>
      </c>
      <c r="E39">
        <v>0</v>
      </c>
      <c r="F39" s="6">
        <v>-22000000</v>
      </c>
      <c r="G39">
        <f>1/1.08^0</f>
        <v>1</v>
      </c>
      <c r="H39" s="6">
        <v>-22000000</v>
      </c>
      <c r="I39" s="8">
        <v>0.02</v>
      </c>
    </row>
    <row r="40" spans="1:12" x14ac:dyDescent="0.2">
      <c r="A40">
        <v>1</v>
      </c>
      <c r="B40" s="6">
        <v>-9000000</v>
      </c>
      <c r="C40">
        <v>18568000</v>
      </c>
      <c r="D40" s="7">
        <v>-1200000</v>
      </c>
      <c r="E40">
        <v>0</v>
      </c>
      <c r="F40" s="6">
        <v>-17000000</v>
      </c>
      <c r="G40">
        <f>1/1.0239^1</f>
        <v>0.97665787674577598</v>
      </c>
      <c r="H40" s="6">
        <f>F40*G40</f>
        <v>-16603183.904678192</v>
      </c>
      <c r="I40" s="8">
        <v>0.02</v>
      </c>
    </row>
    <row r="41" spans="1:12" x14ac:dyDescent="0.2">
      <c r="A41">
        <v>2</v>
      </c>
      <c r="B41" s="6">
        <v>-6000000</v>
      </c>
      <c r="C41">
        <v>20221712.5</v>
      </c>
      <c r="D41" s="7">
        <f>D40*(1+2.5%)</f>
        <v>-1230000</v>
      </c>
      <c r="E41" s="21">
        <v>3182376</v>
      </c>
      <c r="F41" s="6">
        <f>6060000+L6</f>
        <v>6152942.5710086403</v>
      </c>
      <c r="G41">
        <f>1/1.0239^2</f>
        <v>0.95386060820956731</v>
      </c>
      <c r="H41" s="6">
        <f>F41*G41</f>
        <v>5869049.5430608401</v>
      </c>
      <c r="I41" s="8">
        <v>0.02</v>
      </c>
    </row>
    <row r="42" spans="1:12" x14ac:dyDescent="0.2">
      <c r="A42">
        <v>3</v>
      </c>
      <c r="B42">
        <v>0</v>
      </c>
      <c r="C42">
        <v>21946505.624999996</v>
      </c>
      <c r="D42" s="7">
        <f t="shared" ref="D42:D49" si="8">D41*(1+2.5%)</f>
        <v>-1260750</v>
      </c>
      <c r="E42" s="21">
        <v>3182376</v>
      </c>
      <c r="F42" s="6">
        <f>7020600+L6</f>
        <v>7113542.5710086403</v>
      </c>
      <c r="G42">
        <f>1/1.0239^3</f>
        <v>0.93159547632539041</v>
      </c>
      <c r="H42" s="6">
        <f>F42*G42</f>
        <v>6626944.0797997368</v>
      </c>
      <c r="I42" s="8">
        <v>0.02</v>
      </c>
    </row>
    <row r="43" spans="1:12" x14ac:dyDescent="0.2">
      <c r="A43">
        <v>4</v>
      </c>
      <c r="B43">
        <v>0</v>
      </c>
      <c r="C43">
        <v>23744899.835937493</v>
      </c>
      <c r="D43" s="7">
        <f t="shared" si="8"/>
        <v>-1292268.75</v>
      </c>
      <c r="E43" s="21">
        <v>3182376</v>
      </c>
      <c r="F43" s="6">
        <f>8029620+L6</f>
        <v>8122562.5710086403</v>
      </c>
      <c r="G43">
        <f>1/1.0239^4</f>
        <v>0.90985005989392576</v>
      </c>
      <c r="H43" s="6">
        <f t="shared" ref="H43:H49" si="9">F43*G43</f>
        <v>7390314.0417243708</v>
      </c>
      <c r="I43" s="8">
        <v>0.02</v>
      </c>
    </row>
    <row r="44" spans="1:12" x14ac:dyDescent="0.2">
      <c r="A44">
        <v>5</v>
      </c>
      <c r="B44">
        <v>0</v>
      </c>
      <c r="C44">
        <v>24338522.331835926</v>
      </c>
      <c r="D44" s="7">
        <f t="shared" si="8"/>
        <v>-1324575.46875</v>
      </c>
      <c r="E44" s="21">
        <v>3182376</v>
      </c>
      <c r="F44" s="6">
        <f>9088678+L6</f>
        <v>9181620.5710086413</v>
      </c>
      <c r="G44">
        <f>1/1.0239^5</f>
        <v>0.8886122276530185</v>
      </c>
      <c r="H44" s="6">
        <f t="shared" si="9"/>
        <v>8158900.3090687683</v>
      </c>
      <c r="I44" s="8">
        <v>0.02</v>
      </c>
    </row>
    <row r="45" spans="1:12" x14ac:dyDescent="0.2">
      <c r="A45">
        <v>6</v>
      </c>
      <c r="B45">
        <v>0</v>
      </c>
      <c r="C45">
        <v>24946985.390131824</v>
      </c>
      <c r="D45" s="7">
        <f t="shared" si="8"/>
        <v>-1357689.8554687498</v>
      </c>
      <c r="E45" s="21">
        <v>3182376</v>
      </c>
      <c r="F45" s="7">
        <f>C45-D45-E45</f>
        <v>23122299.245600574</v>
      </c>
      <c r="G45">
        <f>1/1.0239^6</f>
        <v>0.8678701315099312</v>
      </c>
      <c r="H45" s="6">
        <f t="shared" si="9"/>
        <v>20067152.887091354</v>
      </c>
      <c r="I45" s="8">
        <v>0.02</v>
      </c>
    </row>
    <row r="46" spans="1:12" x14ac:dyDescent="0.2">
      <c r="A46">
        <v>7</v>
      </c>
      <c r="B46">
        <v>0</v>
      </c>
      <c r="C46">
        <v>25570660.024885114</v>
      </c>
      <c r="D46" s="7">
        <f t="shared" si="8"/>
        <v>-1391632.1018554685</v>
      </c>
      <c r="E46">
        <v>0</v>
      </c>
      <c r="F46" s="7">
        <f t="shared" ref="F46:F49" si="10">C46-D46-E46</f>
        <v>26962292.126740582</v>
      </c>
      <c r="G46">
        <f>1/1.0239^7</f>
        <v>0.84761219993156678</v>
      </c>
      <c r="H46" s="6">
        <f t="shared" si="9"/>
        <v>22853567.744744148</v>
      </c>
      <c r="I46" s="8">
        <v>0.02</v>
      </c>
    </row>
    <row r="47" spans="1:12" x14ac:dyDescent="0.2">
      <c r="A47">
        <v>8</v>
      </c>
      <c r="B47">
        <v>0</v>
      </c>
      <c r="C47">
        <v>26209926.525507241</v>
      </c>
      <c r="D47" s="7">
        <f t="shared" si="8"/>
        <v>-1426422.9044018551</v>
      </c>
      <c r="E47">
        <v>0</v>
      </c>
      <c r="F47" s="7">
        <f t="shared" si="10"/>
        <v>27636349.429909095</v>
      </c>
      <c r="G47">
        <f>1/1.0239^8</f>
        <v>0.82782713148898024</v>
      </c>
      <c r="H47" s="6">
        <f t="shared" si="9"/>
        <v>22878119.87338876</v>
      </c>
      <c r="I47" s="8">
        <v>0.02</v>
      </c>
    </row>
    <row r="48" spans="1:12" x14ac:dyDescent="0.2">
      <c r="A48">
        <v>9</v>
      </c>
      <c r="B48">
        <v>0</v>
      </c>
      <c r="C48">
        <v>26865174.688644916</v>
      </c>
      <c r="D48" s="7">
        <f t="shared" si="8"/>
        <v>-1462083.4770119013</v>
      </c>
      <c r="E48">
        <v>0</v>
      </c>
      <c r="F48" s="7">
        <f t="shared" si="10"/>
        <v>28327258.165656816</v>
      </c>
      <c r="G48">
        <f>1/1.0239^9</f>
        <v>0.80850388855257371</v>
      </c>
      <c r="H48" s="6">
        <f t="shared" si="9"/>
        <v>22902698.378966182</v>
      </c>
      <c r="I48" s="8">
        <v>0.02</v>
      </c>
      <c r="L48" s="21"/>
    </row>
    <row r="49" spans="1:9" x14ac:dyDescent="0.2">
      <c r="A49">
        <v>10</v>
      </c>
      <c r="B49">
        <v>0</v>
      </c>
      <c r="C49">
        <v>27536804.055861041</v>
      </c>
      <c r="D49" s="7">
        <f t="shared" si="8"/>
        <v>-1498635.5639371988</v>
      </c>
      <c r="E49">
        <v>0</v>
      </c>
      <c r="F49" s="7">
        <f t="shared" si="10"/>
        <v>29035439.619798239</v>
      </c>
      <c r="G49">
        <f>1/1.0239^10</f>
        <v>0.78963169113446019</v>
      </c>
      <c r="H49" s="6">
        <f t="shared" si="9"/>
        <v>22927303.28981379</v>
      </c>
      <c r="I49" s="8">
        <v>0.02</v>
      </c>
    </row>
    <row r="51" spans="1:9" x14ac:dyDescent="0.2">
      <c r="A51" s="19" t="s">
        <v>27</v>
      </c>
      <c r="B51" s="6">
        <f>SUM(B39:B49)</f>
        <v>-37000000</v>
      </c>
      <c r="C51">
        <f>SUM(C39:C49)</f>
        <v>239949190.97780359</v>
      </c>
      <c r="D51" s="7">
        <f>SUM(D39:D49)</f>
        <v>-13444058.121425174</v>
      </c>
      <c r="E51" s="6">
        <f>SUM(E39:E49)</f>
        <v>15911880</v>
      </c>
      <c r="F51" s="6">
        <f>SUM(F39:F49)</f>
        <v>126654306.87173988</v>
      </c>
    </row>
    <row r="52" spans="1:9" x14ac:dyDescent="0.2">
      <c r="D52" s="7"/>
      <c r="G52" s="24"/>
      <c r="H52" s="21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2BE51-BF23-477A-8332-451246CAE0F0}">
  <dimension ref="A1:FE52"/>
  <sheetViews>
    <sheetView zoomScale="84" workbookViewId="0">
      <selection activeCell="J20" sqref="J20"/>
    </sheetView>
  </sheetViews>
  <sheetFormatPr baseColWidth="10" defaultColWidth="8.83203125" defaultRowHeight="16" x14ac:dyDescent="0.2"/>
  <cols>
    <col min="2" max="2" width="16.33203125" customWidth="1"/>
    <col min="3" max="3" width="10.5" customWidth="1"/>
    <col min="4" max="4" width="19.83203125" customWidth="1"/>
    <col min="5" max="5" width="17.1640625" customWidth="1"/>
    <col min="6" max="6" width="15.33203125" customWidth="1"/>
    <col min="7" max="7" width="20.83203125" customWidth="1"/>
    <col min="8" max="8" width="15.6640625" customWidth="1"/>
    <col min="9" max="9" width="17.83203125" bestFit="1" customWidth="1"/>
    <col min="10" max="11" width="9" bestFit="1" customWidth="1"/>
    <col min="12" max="12" width="15" bestFit="1" customWidth="1"/>
  </cols>
  <sheetData>
    <row r="1" spans="1:161" x14ac:dyDescent="0.2">
      <c r="A1" s="19" t="s">
        <v>28</v>
      </c>
      <c r="B1" s="19" t="s">
        <v>47</v>
      </c>
      <c r="C1" s="19" t="s">
        <v>48</v>
      </c>
      <c r="D1" s="19" t="s">
        <v>49</v>
      </c>
      <c r="E1" s="19" t="s">
        <v>50</v>
      </c>
      <c r="F1" s="19" t="s">
        <v>51</v>
      </c>
      <c r="G1" s="19" t="s">
        <v>52</v>
      </c>
      <c r="H1" s="19" t="s">
        <v>53</v>
      </c>
      <c r="I1" s="19" t="s">
        <v>54</v>
      </c>
    </row>
    <row r="2" spans="1:161" x14ac:dyDescent="0.2">
      <c r="A2">
        <v>0</v>
      </c>
      <c r="B2" s="6">
        <v>-22000000</v>
      </c>
      <c r="C2">
        <v>0</v>
      </c>
      <c r="D2" s="7">
        <v>0</v>
      </c>
      <c r="E2">
        <v>0</v>
      </c>
      <c r="F2" s="6">
        <v>-22000000</v>
      </c>
      <c r="G2">
        <f>1/1.08^0</f>
        <v>1</v>
      </c>
      <c r="H2" s="6">
        <v>-22000000</v>
      </c>
      <c r="I2" s="8">
        <v>0.03</v>
      </c>
      <c r="L2" s="52"/>
      <c r="M2" s="52"/>
      <c r="N2" s="52"/>
      <c r="O2" s="52"/>
      <c r="P2" s="52"/>
      <c r="Q2" s="52"/>
      <c r="R2" s="52"/>
      <c r="S2" s="52"/>
      <c r="T2" s="52"/>
    </row>
    <row r="3" spans="1:161" x14ac:dyDescent="0.2">
      <c r="A3">
        <v>1</v>
      </c>
      <c r="B3" s="6">
        <v>-9000000</v>
      </c>
      <c r="C3">
        <v>18568000</v>
      </c>
      <c r="D3" s="7">
        <v>-1200000</v>
      </c>
      <c r="E3">
        <v>0</v>
      </c>
      <c r="F3" s="6">
        <v>-17000000</v>
      </c>
      <c r="G3">
        <f>1/1.0286^1</f>
        <v>0.97219521679953336</v>
      </c>
      <c r="H3" s="6">
        <f t="shared" ref="H3:H12" si="0">F3*G3</f>
        <v>-16527318.685592066</v>
      </c>
      <c r="I3" s="8">
        <v>0.03</v>
      </c>
      <c r="L3" s="52"/>
      <c r="M3" s="52"/>
      <c r="N3" s="52"/>
      <c r="O3" s="52"/>
      <c r="P3" s="52"/>
      <c r="Q3" s="52"/>
      <c r="R3" s="52"/>
      <c r="S3" s="52"/>
      <c r="T3" s="52"/>
    </row>
    <row r="4" spans="1:161" x14ac:dyDescent="0.2">
      <c r="A4">
        <v>2</v>
      </c>
      <c r="B4" s="6">
        <v>-6000000</v>
      </c>
      <c r="C4">
        <v>20221712.5</v>
      </c>
      <c r="D4" s="7">
        <f t="shared" ref="D4:D12" si="1">D3*(1+2.5%)</f>
        <v>-1230000</v>
      </c>
      <c r="E4" s="21">
        <f>PMT(3%, 5, -15000000)</f>
        <v>3275318.5710086403</v>
      </c>
      <c r="F4" s="6">
        <f>6060000</f>
        <v>6060000</v>
      </c>
      <c r="G4">
        <f>1/1.0286^2</f>
        <v>0.94516353956789168</v>
      </c>
      <c r="H4" s="6">
        <f t="shared" si="0"/>
        <v>5727691.049781424</v>
      </c>
      <c r="I4" s="8">
        <v>0.03</v>
      </c>
      <c r="L4" s="52"/>
      <c r="M4" s="52"/>
      <c r="N4" s="52"/>
      <c r="O4" s="52"/>
      <c r="P4" s="52"/>
      <c r="Q4" s="52"/>
      <c r="R4" s="52"/>
      <c r="S4" s="52"/>
      <c r="T4" s="52"/>
    </row>
    <row r="5" spans="1:161" x14ac:dyDescent="0.2">
      <c r="A5">
        <v>3</v>
      </c>
      <c r="B5">
        <v>0</v>
      </c>
      <c r="C5">
        <v>21946505.624999996</v>
      </c>
      <c r="D5" s="7">
        <f t="shared" si="1"/>
        <v>-1260750</v>
      </c>
      <c r="E5" s="21">
        <f>PMT(3%, 5, -15000000)</f>
        <v>3275318.5710086403</v>
      </c>
      <c r="F5" s="6">
        <f>7020600</f>
        <v>7020600</v>
      </c>
      <c r="G5">
        <f>1/1.0286^3</f>
        <v>0.91888347226122091</v>
      </c>
      <c r="H5" s="6">
        <f t="shared" si="0"/>
        <v>6451113.3053571275</v>
      </c>
      <c r="I5" s="8">
        <v>0.03</v>
      </c>
      <c r="L5" s="53"/>
      <c r="M5" s="52"/>
      <c r="N5" s="52"/>
      <c r="O5" s="52"/>
      <c r="P5" s="52"/>
      <c r="Q5" s="52"/>
      <c r="R5" s="52"/>
      <c r="S5" s="52"/>
      <c r="T5" s="52"/>
    </row>
    <row r="6" spans="1:161" x14ac:dyDescent="0.2">
      <c r="A6">
        <v>4</v>
      </c>
      <c r="B6">
        <v>0</v>
      </c>
      <c r="C6">
        <v>23744899.835937493</v>
      </c>
      <c r="D6" s="7">
        <f t="shared" si="1"/>
        <v>-1292268.75</v>
      </c>
      <c r="E6" s="21">
        <f>PMT(3%, 5, -15000000)</f>
        <v>3275318.5710086403</v>
      </c>
      <c r="F6" s="6">
        <f>8029620+L5</f>
        <v>8029620</v>
      </c>
      <c r="G6">
        <f>1/1.0286^4</f>
        <v>0.8933341165285057</v>
      </c>
      <c r="H6" s="6">
        <f t="shared" si="0"/>
        <v>7173133.4887596201</v>
      </c>
      <c r="I6" s="8">
        <v>0.03</v>
      </c>
      <c r="L6" s="53"/>
      <c r="M6" s="52"/>
      <c r="N6" s="52"/>
      <c r="O6" s="52"/>
      <c r="P6" s="52"/>
      <c r="Q6" s="52"/>
      <c r="R6" s="52"/>
      <c r="S6" s="52"/>
      <c r="T6" s="52"/>
    </row>
    <row r="7" spans="1:161" x14ac:dyDescent="0.2">
      <c r="A7">
        <v>5</v>
      </c>
      <c r="B7">
        <v>0</v>
      </c>
      <c r="C7">
        <v>24338522.331835926</v>
      </c>
      <c r="D7" s="7">
        <f t="shared" si="1"/>
        <v>-1324575.46875</v>
      </c>
      <c r="E7" s="21">
        <f>PMT(3%, 5, -15000000)</f>
        <v>3275318.5710086403</v>
      </c>
      <c r="F7" s="6">
        <f>9088678+L5</f>
        <v>9088678</v>
      </c>
      <c r="G7">
        <f>1/1.0286^5</f>
        <v>0.86849515509285025</v>
      </c>
      <c r="H7" s="6">
        <f t="shared" si="0"/>
        <v>7893472.8091989756</v>
      </c>
      <c r="I7" s="8">
        <v>0.03</v>
      </c>
      <c r="L7" s="52"/>
      <c r="M7" s="52"/>
      <c r="N7" s="52"/>
      <c r="O7" s="52"/>
      <c r="P7" s="52"/>
      <c r="Q7" s="52"/>
      <c r="R7" s="52"/>
      <c r="S7" s="52"/>
      <c r="T7" s="52"/>
    </row>
    <row r="8" spans="1:161" x14ac:dyDescent="0.2">
      <c r="A8">
        <v>6</v>
      </c>
      <c r="B8">
        <v>0</v>
      </c>
      <c r="C8">
        <v>24946985.390131824</v>
      </c>
      <c r="D8" s="7">
        <f t="shared" si="1"/>
        <v>-1357689.8554687498</v>
      </c>
      <c r="E8" s="21">
        <f>PMT(3%, 5, -15000000)</f>
        <v>3275318.5710086403</v>
      </c>
      <c r="F8" s="7">
        <f>C8-D8-E8</f>
        <v>23029356.674591932</v>
      </c>
      <c r="G8">
        <f>1/1.0286^6</f>
        <v>0.84434683559483781</v>
      </c>
      <c r="H8" s="6">
        <f t="shared" si="0"/>
        <v>19444764.433976553</v>
      </c>
      <c r="I8" s="8">
        <v>0.03</v>
      </c>
      <c r="L8" s="52"/>
      <c r="M8" s="52"/>
      <c r="N8" s="52"/>
      <c r="O8" s="52"/>
      <c r="P8" s="52"/>
      <c r="Q8" s="52"/>
      <c r="R8" s="52"/>
      <c r="S8" s="52"/>
      <c r="T8" s="52"/>
    </row>
    <row r="9" spans="1:161" x14ac:dyDescent="0.2">
      <c r="A9">
        <v>7</v>
      </c>
      <c r="B9">
        <v>0</v>
      </c>
      <c r="C9">
        <v>25570660.024885114</v>
      </c>
      <c r="D9" s="7">
        <f t="shared" si="1"/>
        <v>-1391632.1018554685</v>
      </c>
      <c r="E9">
        <v>0</v>
      </c>
      <c r="F9" s="7">
        <f>C9-D9-E9</f>
        <v>26962292.126740582</v>
      </c>
      <c r="G9">
        <f>1/1.0286^7</f>
        <v>0.82086995488512338</v>
      </c>
      <c r="H9" s="6">
        <f t="shared" si="0"/>
        <v>22132535.521677058</v>
      </c>
      <c r="I9" s="8">
        <v>0.03</v>
      </c>
      <c r="L9" s="52"/>
      <c r="M9" s="52"/>
      <c r="N9" s="52"/>
      <c r="O9" s="52"/>
      <c r="P9" s="52"/>
      <c r="Q9" s="52"/>
      <c r="R9" s="52"/>
      <c r="S9" s="52"/>
      <c r="T9" s="52"/>
    </row>
    <row r="10" spans="1:161" x14ac:dyDescent="0.2">
      <c r="A10">
        <v>8</v>
      </c>
      <c r="B10">
        <v>0</v>
      </c>
      <c r="C10">
        <v>26209926.525507241</v>
      </c>
      <c r="D10" s="7">
        <f t="shared" si="1"/>
        <v>-1426422.9044018551</v>
      </c>
      <c r="E10">
        <v>0</v>
      </c>
      <c r="F10" s="7">
        <f>C10-D10-E10</f>
        <v>27636349.429909095</v>
      </c>
      <c r="G10">
        <f>1/1.0286^8</f>
        <v>0.79804584375376575</v>
      </c>
      <c r="H10" s="6">
        <f t="shared" si="0"/>
        <v>22055073.799065705</v>
      </c>
      <c r="I10" s="8">
        <v>0.03</v>
      </c>
      <c r="L10" s="52"/>
      <c r="M10" s="52"/>
      <c r="N10" s="52"/>
      <c r="O10" s="52"/>
      <c r="P10" s="52"/>
      <c r="Q10" s="52"/>
      <c r="R10" s="52"/>
      <c r="S10" s="52"/>
      <c r="T10" s="52"/>
    </row>
    <row r="11" spans="1:161" x14ac:dyDescent="0.2">
      <c r="A11">
        <v>9</v>
      </c>
      <c r="B11">
        <v>0</v>
      </c>
      <c r="C11">
        <v>26865174.688644916</v>
      </c>
      <c r="D11" s="7">
        <f t="shared" si="1"/>
        <v>-1462083.4770119013</v>
      </c>
      <c r="E11">
        <v>0</v>
      </c>
      <c r="F11" s="7">
        <f>C11-D11-E11</f>
        <v>28327258.165656816</v>
      </c>
      <c r="G11">
        <f>1/1.0286^9</f>
        <v>0.77585635208415882</v>
      </c>
      <c r="H11" s="6">
        <f t="shared" si="0"/>
        <v>21977883.184952699</v>
      </c>
      <c r="I11" s="8">
        <v>0.03</v>
      </c>
      <c r="L11" s="52"/>
      <c r="M11" s="52"/>
      <c r="N11" s="52"/>
      <c r="O11" s="52"/>
      <c r="P11" s="52"/>
      <c r="Q11" s="52"/>
      <c r="R11" s="52"/>
      <c r="S11" s="52"/>
      <c r="T11" s="52"/>
    </row>
    <row r="12" spans="1:161" x14ac:dyDescent="0.2">
      <c r="A12">
        <v>10</v>
      </c>
      <c r="B12">
        <v>0</v>
      </c>
      <c r="C12">
        <v>27536804.055861041</v>
      </c>
      <c r="D12" s="7">
        <f t="shared" si="1"/>
        <v>-1498635.5639371988</v>
      </c>
      <c r="E12">
        <v>0</v>
      </c>
      <c r="F12" s="7">
        <f>C12-D12-E12</f>
        <v>29035439.619798239</v>
      </c>
      <c r="G12">
        <f>1/1.0286^10</f>
        <v>0.75428383441975388</v>
      </c>
      <c r="H12" s="6">
        <f t="shared" si="0"/>
        <v>21900962.730484657</v>
      </c>
      <c r="I12" s="8">
        <v>0.03</v>
      </c>
      <c r="L12" s="53"/>
      <c r="M12" s="52"/>
      <c r="N12" s="52"/>
      <c r="O12" s="52"/>
      <c r="P12" s="52"/>
      <c r="Q12" s="52"/>
      <c r="R12" s="52"/>
      <c r="S12" s="52"/>
      <c r="T12" s="52"/>
    </row>
    <row r="14" spans="1:161" x14ac:dyDescent="0.2">
      <c r="A14" s="19" t="s">
        <v>27</v>
      </c>
      <c r="B14" s="6">
        <f>SUM(B2:B12)</f>
        <v>-37000000</v>
      </c>
      <c r="C14">
        <f>SUM(C2:C12)</f>
        <v>239949190.97780359</v>
      </c>
      <c r="D14" s="7">
        <f>SUM(D2:D12)</f>
        <v>-13444058.121425174</v>
      </c>
      <c r="E14" s="6">
        <f>SUM(E2:E12)</f>
        <v>16376592.855043203</v>
      </c>
      <c r="F14" s="6">
        <f>SUM(F2:F12)</f>
        <v>126189594.01669668</v>
      </c>
    </row>
    <row r="15" spans="1:161" s="42" customFormat="1" x14ac:dyDescent="0.2">
      <c r="A15"/>
      <c r="B15"/>
      <c r="C15"/>
      <c r="D15" s="7"/>
      <c r="E15"/>
      <c r="F15"/>
      <c r="G15" s="24"/>
      <c r="H15" s="21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</row>
    <row r="16" spans="1:161" s="42" customFormat="1" x14ac:dyDescent="0.2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</row>
    <row r="17" spans="1:161" s="42" customFormat="1" x14ac:dyDescent="0.2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</row>
    <row r="18" spans="1:161" s="42" customFormat="1" x14ac:dyDescent="0.2">
      <c r="A18" s="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</row>
    <row r="28" spans="1:161" x14ac:dyDescent="0.2">
      <c r="L28" s="21"/>
    </row>
    <row r="29" spans="1:161" x14ac:dyDescent="0.2">
      <c r="M29" s="21"/>
    </row>
    <row r="34" spans="1:161" s="42" customFormat="1" x14ac:dyDescent="0.2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</row>
    <row r="35" spans="1:161" s="42" customFormat="1" x14ac:dyDescent="0.2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</row>
    <row r="36" spans="1:161" s="42" customFormat="1" x14ac:dyDescent="0.2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</row>
    <row r="37" spans="1:161" s="42" customFormat="1" x14ac:dyDescent="0.2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</row>
    <row r="38" spans="1:161" x14ac:dyDescent="0.2">
      <c r="A38" s="19"/>
      <c r="B38" s="19"/>
      <c r="C38" s="19"/>
      <c r="D38" s="19"/>
      <c r="E38" s="19"/>
      <c r="F38" s="19"/>
      <c r="G38" s="19"/>
      <c r="H38" s="19"/>
      <c r="I38" s="19"/>
    </row>
    <row r="39" spans="1:161" x14ac:dyDescent="0.2">
      <c r="B39" s="6"/>
      <c r="D39" s="7"/>
      <c r="F39" s="6"/>
      <c r="H39" s="6"/>
      <c r="I39" s="8"/>
    </row>
    <row r="40" spans="1:161" x14ac:dyDescent="0.2">
      <c r="B40" s="6"/>
      <c r="D40" s="7"/>
      <c r="F40" s="6"/>
      <c r="H40" s="6"/>
      <c r="I40" s="8"/>
    </row>
    <row r="41" spans="1:161" x14ac:dyDescent="0.2">
      <c r="B41" s="6"/>
      <c r="D41" s="7"/>
      <c r="E41" s="21"/>
      <c r="F41" s="6"/>
      <c r="H41" s="6"/>
      <c r="I41" s="8"/>
    </row>
    <row r="42" spans="1:161" x14ac:dyDescent="0.2">
      <c r="D42" s="7"/>
      <c r="E42" s="21"/>
      <c r="F42" s="6"/>
      <c r="H42" s="6"/>
      <c r="I42" s="8"/>
    </row>
    <row r="43" spans="1:161" x14ac:dyDescent="0.2">
      <c r="D43" s="7"/>
      <c r="E43" s="21"/>
      <c r="F43" s="6"/>
      <c r="H43" s="6"/>
      <c r="I43" s="8"/>
    </row>
    <row r="44" spans="1:161" x14ac:dyDescent="0.2">
      <c r="D44" s="7"/>
      <c r="E44" s="21"/>
      <c r="F44" s="6"/>
      <c r="H44" s="6"/>
      <c r="I44" s="8"/>
    </row>
    <row r="45" spans="1:161" x14ac:dyDescent="0.2">
      <c r="D45" s="7"/>
      <c r="E45" s="21"/>
      <c r="F45" s="7"/>
      <c r="H45" s="6"/>
      <c r="I45" s="8"/>
    </row>
    <row r="46" spans="1:161" x14ac:dyDescent="0.2">
      <c r="D46" s="7"/>
      <c r="F46" s="7"/>
      <c r="H46" s="6"/>
      <c r="I46" s="8"/>
    </row>
    <row r="47" spans="1:161" x14ac:dyDescent="0.2">
      <c r="D47" s="7"/>
      <c r="F47" s="7"/>
      <c r="H47" s="6"/>
      <c r="I47" s="8"/>
    </row>
    <row r="48" spans="1:161" x14ac:dyDescent="0.2">
      <c r="D48" s="7"/>
      <c r="F48" s="7"/>
      <c r="H48" s="6"/>
      <c r="I48" s="8"/>
      <c r="L48" s="21"/>
    </row>
    <row r="49" spans="1:9" x14ac:dyDescent="0.2">
      <c r="D49" s="7"/>
      <c r="F49" s="7"/>
      <c r="H49" s="6"/>
      <c r="I49" s="8"/>
    </row>
    <row r="51" spans="1:9" x14ac:dyDescent="0.2">
      <c r="A51" s="19"/>
      <c r="B51" s="6"/>
      <c r="D51" s="7"/>
      <c r="E51" s="6"/>
      <c r="F51" s="6"/>
    </row>
    <row r="52" spans="1:9" x14ac:dyDescent="0.2">
      <c r="D52" s="7"/>
      <c r="G52" s="24"/>
      <c r="H52" s="21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699F2-753B-4A2E-9033-C4CDE523EBB4}">
  <dimension ref="A1:R67"/>
  <sheetViews>
    <sheetView zoomScale="87" zoomScaleNormal="100" workbookViewId="0">
      <selection activeCell="M4" sqref="M4"/>
    </sheetView>
  </sheetViews>
  <sheetFormatPr baseColWidth="10" defaultColWidth="8.83203125" defaultRowHeight="16" x14ac:dyDescent="0.2"/>
  <cols>
    <col min="1" max="1" width="35.5" bestFit="1" customWidth="1"/>
    <col min="2" max="2" width="14" bestFit="1" customWidth="1"/>
    <col min="3" max="3" width="11.83203125" bestFit="1" customWidth="1"/>
    <col min="4" max="4" width="27.1640625" bestFit="1" customWidth="1"/>
    <col min="5" max="6" width="11.33203125" bestFit="1" customWidth="1"/>
    <col min="7" max="7" width="8.83203125" style="33"/>
    <col min="8" max="8" width="64.6640625" customWidth="1"/>
    <col min="9" max="9" width="25.1640625" customWidth="1"/>
    <col min="10" max="10" width="23" customWidth="1"/>
    <col min="11" max="11" width="24" customWidth="1"/>
    <col min="12" max="12" width="16.1640625" customWidth="1"/>
    <col min="13" max="13" width="27.5" customWidth="1"/>
    <col min="14" max="14" width="24" bestFit="1" customWidth="1"/>
    <col min="15" max="15" width="14.33203125" style="33" customWidth="1"/>
    <col min="16" max="16" width="85.5" bestFit="1" customWidth="1"/>
    <col min="17" max="17" width="84.1640625" bestFit="1" customWidth="1"/>
    <col min="18" max="18" width="13.33203125" bestFit="1" customWidth="1"/>
  </cols>
  <sheetData>
    <row r="1" spans="1:18" x14ac:dyDescent="0.2">
      <c r="A1" t="s">
        <v>56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H1" t="s">
        <v>62</v>
      </c>
      <c r="I1" t="s">
        <v>56</v>
      </c>
      <c r="M1" s="38"/>
    </row>
    <row r="2" spans="1:18" x14ac:dyDescent="0.2">
      <c r="A2" t="s">
        <v>63</v>
      </c>
      <c r="H2" t="s">
        <v>64</v>
      </c>
      <c r="I2" s="58">
        <v>1.1000000000000001</v>
      </c>
      <c r="J2" s="8"/>
      <c r="K2" s="32"/>
      <c r="L2" s="8"/>
      <c r="M2" s="38"/>
      <c r="P2" s="38" t="s">
        <v>65</v>
      </c>
      <c r="Q2" s="19"/>
      <c r="R2" s="19"/>
    </row>
    <row r="3" spans="1:18" x14ac:dyDescent="0.2">
      <c r="B3" t="s">
        <v>66</v>
      </c>
      <c r="C3" t="s">
        <v>67</v>
      </c>
      <c r="D3" t="s">
        <v>68</v>
      </c>
      <c r="E3" t="s">
        <v>69</v>
      </c>
      <c r="H3" t="s">
        <v>70</v>
      </c>
      <c r="I3" s="5">
        <v>2.0500000000000001E-2</v>
      </c>
      <c r="J3" s="8"/>
      <c r="K3" s="32"/>
      <c r="L3" s="8"/>
      <c r="M3" s="38"/>
      <c r="P3" s="38" t="s">
        <v>71</v>
      </c>
      <c r="R3" s="6"/>
    </row>
    <row r="4" spans="1:18" x14ac:dyDescent="0.2">
      <c r="A4" t="s">
        <v>72</v>
      </c>
      <c r="B4" s="6"/>
      <c r="D4" s="6">
        <v>-15000000</v>
      </c>
      <c r="E4" s="6">
        <v>-15000000</v>
      </c>
      <c r="F4" s="8"/>
      <c r="H4" t="s">
        <v>73</v>
      </c>
      <c r="I4" s="5">
        <v>4.2799999999999998E-2</v>
      </c>
      <c r="J4" s="8"/>
      <c r="K4" s="32"/>
      <c r="L4" s="8"/>
      <c r="M4" s="32"/>
      <c r="P4" s="38" t="s">
        <v>74</v>
      </c>
      <c r="R4" s="6"/>
    </row>
    <row r="5" spans="1:18" x14ac:dyDescent="0.2">
      <c r="A5" t="s">
        <v>75</v>
      </c>
      <c r="B5" s="6">
        <f>PMT(3%,5,-15000000)</f>
        <v>3275318.5710086403</v>
      </c>
      <c r="C5" s="5">
        <v>2.1000000000000001E-2</v>
      </c>
      <c r="D5">
        <f>B5/(1+C5)</f>
        <v>3207951.5876676207</v>
      </c>
      <c r="E5" s="6">
        <f>B5</f>
        <v>3275318.5710086403</v>
      </c>
      <c r="H5" s="38" t="s">
        <v>76</v>
      </c>
      <c r="I5" s="5">
        <f>I3+I2*(I4-I3)</f>
        <v>4.5030000000000001E-2</v>
      </c>
      <c r="J5" s="8"/>
      <c r="K5" s="32"/>
    </row>
    <row r="6" spans="1:18" x14ac:dyDescent="0.2">
      <c r="A6" t="s">
        <v>77</v>
      </c>
      <c r="B6" s="6">
        <f>PMT(3%,5,-15000000)</f>
        <v>3275318.5710086403</v>
      </c>
      <c r="C6" s="5">
        <v>2.1000000000000001E-2</v>
      </c>
      <c r="D6">
        <f>B6/(1+C6)^2</f>
        <v>3141970.213190618</v>
      </c>
      <c r="E6" s="6">
        <f t="shared" ref="E6:E9" si="0">B6</f>
        <v>3275318.5710086403</v>
      </c>
      <c r="I6" s="8"/>
    </row>
    <row r="7" spans="1:18" x14ac:dyDescent="0.2">
      <c r="A7" t="s">
        <v>78</v>
      </c>
      <c r="B7" s="6">
        <f>PMT(3%,5,-15000000)</f>
        <v>3275318.5710086403</v>
      </c>
      <c r="C7" s="5">
        <v>2.1000000000000001E-2</v>
      </c>
      <c r="D7">
        <f>B7/(1+C7)^3</f>
        <v>3077345.9482768052</v>
      </c>
      <c r="E7" s="6">
        <f t="shared" si="0"/>
        <v>3275318.5710086403</v>
      </c>
      <c r="H7" s="48" t="s">
        <v>79</v>
      </c>
      <c r="I7" s="48" t="s">
        <v>80</v>
      </c>
      <c r="J7" s="48" t="s">
        <v>81</v>
      </c>
      <c r="K7" s="48" t="s">
        <v>82</v>
      </c>
      <c r="L7" s="19" t="s">
        <v>83</v>
      </c>
      <c r="M7" s="19" t="s">
        <v>84</v>
      </c>
      <c r="N7" s="19" t="s">
        <v>85</v>
      </c>
    </row>
    <row r="8" spans="1:18" x14ac:dyDescent="0.2">
      <c r="A8" t="s">
        <v>86</v>
      </c>
      <c r="B8" s="6">
        <f>PMT(3%,5,-15000000)</f>
        <v>3275318.5710086403</v>
      </c>
      <c r="C8" s="5">
        <v>2.1000000000000001E-2</v>
      </c>
      <c r="D8">
        <f>B8/(1+C8)^4</f>
        <v>3014050.8798009851</v>
      </c>
      <c r="E8" s="6">
        <f t="shared" si="0"/>
        <v>3275318.5710086403</v>
      </c>
      <c r="H8" s="31" t="s">
        <v>87</v>
      </c>
      <c r="I8" s="35">
        <v>0.05</v>
      </c>
      <c r="J8" s="60">
        <v>4.4999999999999998E-2</v>
      </c>
      <c r="K8" s="35">
        <v>0.3</v>
      </c>
      <c r="L8">
        <v>7000000</v>
      </c>
      <c r="M8">
        <v>15000000</v>
      </c>
      <c r="N8" s="23">
        <f>Table17[[#This Row],[CAPM (cost of equity)]]*(Table17[[#This Row],[value of equity]]/22000000)+Table17[[#This Row],[intrest rate (cost of debt)]]*(Table17[[#This Row],[value of debt ]]/22000000)*(1-Table17[[#This Row],[tax rate]])</f>
        <v>3.8181818181818178E-2</v>
      </c>
    </row>
    <row r="9" spans="1:18" x14ac:dyDescent="0.2">
      <c r="A9" t="s">
        <v>88</v>
      </c>
      <c r="B9" s="6">
        <f>PMT(3%,5,-15000000)</f>
        <v>3275318.5710086403</v>
      </c>
      <c r="C9" s="5">
        <v>2.1000000000000001E-2</v>
      </c>
      <c r="D9">
        <f>B9/(1+C9)^5</f>
        <v>2952057.6687570871</v>
      </c>
      <c r="E9" s="6">
        <f t="shared" si="0"/>
        <v>3275318.5710086403</v>
      </c>
      <c r="H9" t="s">
        <v>89</v>
      </c>
      <c r="I9" s="8">
        <v>0.03</v>
      </c>
      <c r="J9" s="59">
        <v>4.4999999999999998E-2</v>
      </c>
      <c r="K9" s="8">
        <v>0.3</v>
      </c>
      <c r="L9">
        <v>7000000</v>
      </c>
      <c r="M9">
        <v>15000000</v>
      </c>
      <c r="N9" s="23">
        <f>Table17[[#This Row],[CAPM (cost of equity)]]*(Table17[[#This Row],[value of equity]]/22000000)+Table17[[#This Row],[intrest rate (cost of debt)]]*(Table17[[#This Row],[value of debt ]]/22000000)*(1-Table17[[#This Row],[tax rate]])</f>
        <v>2.8636363636363633E-2</v>
      </c>
    </row>
    <row r="10" spans="1:18" x14ac:dyDescent="0.2">
      <c r="B10" s="6"/>
      <c r="D10" s="6"/>
      <c r="E10" s="6"/>
      <c r="H10" s="31" t="s">
        <v>90</v>
      </c>
      <c r="I10" s="35">
        <v>0.02</v>
      </c>
      <c r="J10" s="61">
        <v>4.4999999999999998E-2</v>
      </c>
      <c r="K10" s="35">
        <v>0.3</v>
      </c>
      <c r="L10">
        <v>7000000</v>
      </c>
      <c r="M10">
        <v>15000000</v>
      </c>
      <c r="N10" s="23">
        <f>Table17[[#This Row],[CAPM (cost of equity)]]*(Table17[[#This Row],[value of equity]]/22000000)+Table17[[#This Row],[intrest rate (cost of debt)]]*(Table17[[#This Row],[value of debt ]]/22000000)*(1-Table17[[#This Row],[tax rate]])</f>
        <v>2.3863636363636361E-2</v>
      </c>
    </row>
    <row r="11" spans="1:18" x14ac:dyDescent="0.2">
      <c r="B11" s="21"/>
      <c r="E11" s="6"/>
      <c r="I11" s="21"/>
      <c r="K11" s="8"/>
    </row>
    <row r="12" spans="1:18" x14ac:dyDescent="0.2">
      <c r="B12" s="5"/>
      <c r="E12" s="6"/>
      <c r="H12" t="s">
        <v>91</v>
      </c>
      <c r="I12" s="19" t="s">
        <v>92</v>
      </c>
      <c r="K12" s="8"/>
      <c r="M12" s="8"/>
      <c r="N12" s="8"/>
      <c r="O12" s="62"/>
    </row>
    <row r="13" spans="1:18" x14ac:dyDescent="0.2">
      <c r="B13" s="6"/>
      <c r="E13" s="6"/>
      <c r="H13" t="s">
        <v>93</v>
      </c>
      <c r="I13" s="56">
        <v>0.26</v>
      </c>
      <c r="M13" s="8"/>
      <c r="N13" s="8"/>
      <c r="O13" s="62"/>
    </row>
    <row r="14" spans="1:18" x14ac:dyDescent="0.2">
      <c r="B14" s="6"/>
      <c r="E14" s="6"/>
      <c r="H14" t="s">
        <v>94</v>
      </c>
      <c r="I14" s="57">
        <f>NPV(5%,'6. Projected Financials (10Y)'!H3:H12) -22000000</f>
        <v>51443318.488242492</v>
      </c>
      <c r="L14" s="21"/>
      <c r="M14" s="8"/>
      <c r="N14" s="8"/>
      <c r="O14" s="62"/>
    </row>
    <row r="15" spans="1:18" x14ac:dyDescent="0.2">
      <c r="B15" s="6"/>
      <c r="H15" s="19" t="s">
        <v>95</v>
      </c>
      <c r="L15" s="8"/>
    </row>
    <row r="16" spans="1:18" x14ac:dyDescent="0.2">
      <c r="B16" s="6"/>
      <c r="H16" t="s">
        <v>93</v>
      </c>
      <c r="I16" s="56">
        <v>0.26</v>
      </c>
      <c r="K16" s="8"/>
      <c r="L16" s="54"/>
    </row>
    <row r="17" spans="1:15" x14ac:dyDescent="0.2">
      <c r="H17" t="s">
        <v>94</v>
      </c>
      <c r="I17" s="21">
        <f>NPV(3%,'6. Projected Financials (10Y)'!H21:H30) - 22000000</f>
        <v>71562459.541017413</v>
      </c>
    </row>
    <row r="18" spans="1:15" x14ac:dyDescent="0.2">
      <c r="A18" t="s">
        <v>94</v>
      </c>
      <c r="B18" s="21">
        <f>NPV(3%,D5:D9) - 15000000</f>
        <v>-883252.10284442268</v>
      </c>
      <c r="H18" s="38" t="s">
        <v>96</v>
      </c>
    </row>
    <row r="19" spans="1:15" x14ac:dyDescent="0.2">
      <c r="A19" t="s">
        <v>93</v>
      </c>
      <c r="B19" s="5">
        <f>IRR(E4:E9)</f>
        <v>3.0000000000000027E-2</v>
      </c>
      <c r="H19" t="s">
        <v>93</v>
      </c>
      <c r="I19" s="8">
        <v>0.26</v>
      </c>
    </row>
    <row r="20" spans="1:15" x14ac:dyDescent="0.2">
      <c r="A20" t="s">
        <v>97</v>
      </c>
      <c r="B20" s="6">
        <f>14116747.9-15000000</f>
        <v>-883252.09999999963</v>
      </c>
      <c r="H20" t="s">
        <v>94</v>
      </c>
      <c r="I20" s="21">
        <f>NPV(2%, '6. Projected Financials (10Y)'!H40:H49) -22000000</f>
        <v>83038554.814229622</v>
      </c>
    </row>
    <row r="21" spans="1:15" s="33" customFormat="1" x14ac:dyDescent="0.2"/>
    <row r="22" spans="1:15" x14ac:dyDescent="0.2">
      <c r="A22" t="s">
        <v>56</v>
      </c>
      <c r="B22" t="s">
        <v>57</v>
      </c>
      <c r="C22" t="s">
        <v>58</v>
      </c>
      <c r="D22" t="s">
        <v>59</v>
      </c>
      <c r="E22" t="s">
        <v>60</v>
      </c>
      <c r="F22" t="s">
        <v>61</v>
      </c>
      <c r="I22" s="19"/>
      <c r="J22" s="19"/>
      <c r="K22" s="19"/>
      <c r="L22" s="19"/>
      <c r="M22" s="38"/>
      <c r="N22" s="19"/>
      <c r="O22" s="39"/>
    </row>
    <row r="23" spans="1:15" x14ac:dyDescent="0.2">
      <c r="A23" t="s">
        <v>98</v>
      </c>
      <c r="I23" s="56"/>
      <c r="K23" s="7"/>
      <c r="M23" s="38"/>
      <c r="O23" s="41"/>
    </row>
    <row r="24" spans="1:15" x14ac:dyDescent="0.2">
      <c r="B24" t="s">
        <v>66</v>
      </c>
      <c r="C24" t="s">
        <v>67</v>
      </c>
      <c r="D24" t="s">
        <v>68</v>
      </c>
      <c r="E24" t="s">
        <v>69</v>
      </c>
      <c r="I24" s="57"/>
      <c r="K24" s="7"/>
      <c r="M24" s="38"/>
      <c r="O24" s="41"/>
    </row>
    <row r="25" spans="1:15" x14ac:dyDescent="0.2">
      <c r="A25" t="s">
        <v>72</v>
      </c>
      <c r="B25" s="6"/>
      <c r="D25" s="6">
        <v>-15000000</v>
      </c>
      <c r="E25" s="6">
        <v>-15000000</v>
      </c>
      <c r="F25" s="8"/>
      <c r="I25" s="6"/>
      <c r="K25" s="7"/>
      <c r="L25" s="21"/>
      <c r="M25" s="6"/>
      <c r="O25" s="41"/>
    </row>
    <row r="26" spans="1:15" x14ac:dyDescent="0.2">
      <c r="A26" t="s">
        <v>75</v>
      </c>
      <c r="B26" s="6">
        <f>PMT(5%,5,-15000000)</f>
        <v>3464621.9719240218</v>
      </c>
      <c r="C26" s="32">
        <v>3.5000000000000003E-2</v>
      </c>
      <c r="D26">
        <f>Table33[[#This Row],[Column2]]/(1+Table33[[#This Row],[Column3]])</f>
        <v>3347460.8424386685</v>
      </c>
      <c r="E26" s="6">
        <f>PMT(5%,5,-15000000)</f>
        <v>3464621.9719240218</v>
      </c>
      <c r="K26" s="7"/>
      <c r="L26" s="21"/>
      <c r="M26" s="6"/>
      <c r="O26" s="41"/>
    </row>
    <row r="27" spans="1:15" x14ac:dyDescent="0.2">
      <c r="A27" t="s">
        <v>77</v>
      </c>
      <c r="B27" s="6">
        <f>PMT(5%,5,-15000000)</f>
        <v>3464621.9719240218</v>
      </c>
      <c r="C27" s="32">
        <v>3.5000000000000003E-2</v>
      </c>
      <c r="D27">
        <f>Table33[[#This Row],[Column2]]/(1+Table33[[#This Row],[Column3]])^2</f>
        <v>3234261.6835156223</v>
      </c>
      <c r="E27" s="6">
        <f>PMT(5%,5,-15000000)</f>
        <v>3464621.9719240218</v>
      </c>
      <c r="I27" s="56"/>
      <c r="K27" s="7"/>
      <c r="L27" s="21"/>
      <c r="M27" s="6"/>
      <c r="O27" s="41"/>
    </row>
    <row r="28" spans="1:15" x14ac:dyDescent="0.2">
      <c r="A28" t="s">
        <v>78</v>
      </c>
      <c r="B28" s="6">
        <f>PMT(5%,5,-15000000)</f>
        <v>3464621.9719240218</v>
      </c>
      <c r="C28" s="32">
        <v>3.5000000000000003E-2</v>
      </c>
      <c r="D28">
        <f>Table33[[#This Row],[Column2]]/(1+Table33[[#This Row],[Column3]])^3</f>
        <v>3124890.5154740312</v>
      </c>
      <c r="E28" s="6">
        <f>PMT(5%,5,-15000000)</f>
        <v>3464621.9719240218</v>
      </c>
      <c r="K28" s="7"/>
      <c r="L28" s="21"/>
      <c r="M28" s="6"/>
      <c r="O28" s="41"/>
    </row>
    <row r="29" spans="1:15" x14ac:dyDescent="0.2">
      <c r="A29" t="s">
        <v>86</v>
      </c>
      <c r="B29" s="6">
        <f>PMT(5%,5,-15000000)</f>
        <v>3464621.9719240218</v>
      </c>
      <c r="C29" s="32">
        <v>3.5000000000000003E-2</v>
      </c>
      <c r="D29">
        <f>Table33[[#This Row],[Column2]]/(1+Table33[[#This Row],[Column3]])^4</f>
        <v>3019217.8893468902</v>
      </c>
      <c r="E29" s="6">
        <f>PMT(5%,5,-15000000)</f>
        <v>3464621.9719240218</v>
      </c>
      <c r="K29" s="7"/>
      <c r="L29" s="21"/>
      <c r="M29" s="7"/>
      <c r="O29" s="41"/>
    </row>
    <row r="30" spans="1:15" x14ac:dyDescent="0.2">
      <c r="A30" t="s">
        <v>88</v>
      </c>
      <c r="B30" s="6">
        <f>PMT(5%,5,-15000000)</f>
        <v>3464621.9719240218</v>
      </c>
      <c r="C30" s="32">
        <v>3.5000000000000003E-2</v>
      </c>
      <c r="D30">
        <f>Table33[[#This Row],[Column2]]/(1+Table33[[#This Row],[Column3]])^5</f>
        <v>2917118.7336684936</v>
      </c>
      <c r="E30" s="6">
        <f>PMT(5%,5,-15000000)</f>
        <v>3464621.9719240218</v>
      </c>
      <c r="K30" s="7"/>
      <c r="M30" s="7"/>
      <c r="O30" s="41"/>
    </row>
    <row r="31" spans="1:15" x14ac:dyDescent="0.2">
      <c r="B31" s="6"/>
      <c r="D31" s="6"/>
      <c r="E31" s="6"/>
      <c r="I31" s="8"/>
      <c r="K31" s="7"/>
      <c r="M31" s="7"/>
      <c r="O31" s="41"/>
    </row>
    <row r="32" spans="1:15" x14ac:dyDescent="0.2">
      <c r="B32" s="21"/>
      <c r="E32" s="6"/>
      <c r="I32" s="8"/>
      <c r="K32" s="7"/>
      <c r="M32" s="7"/>
      <c r="O32" s="41"/>
    </row>
    <row r="33" spans="1:15" x14ac:dyDescent="0.2">
      <c r="B33" s="5"/>
      <c r="E33" s="6"/>
      <c r="I33" s="47"/>
      <c r="K33" s="7"/>
      <c r="M33" s="7"/>
      <c r="O33" s="41"/>
    </row>
    <row r="34" spans="1:15" x14ac:dyDescent="0.2">
      <c r="B34" s="6"/>
      <c r="E34" s="6"/>
    </row>
    <row r="35" spans="1:15" x14ac:dyDescent="0.2">
      <c r="B35" s="6"/>
      <c r="E35" s="6"/>
      <c r="I35" s="21"/>
      <c r="K35" s="7"/>
      <c r="L35" s="6"/>
      <c r="M35" s="6"/>
    </row>
    <row r="36" spans="1:15" x14ac:dyDescent="0.2">
      <c r="B36" s="6"/>
      <c r="I36" s="8"/>
      <c r="K36" s="7"/>
      <c r="N36" s="24"/>
      <c r="O36" s="40"/>
    </row>
    <row r="37" spans="1:15" x14ac:dyDescent="0.2">
      <c r="B37" s="6"/>
      <c r="I37" s="47"/>
    </row>
    <row r="39" spans="1:15" x14ac:dyDescent="0.2">
      <c r="A39" t="s">
        <v>94</v>
      </c>
      <c r="B39" s="21">
        <f>NPV(5%,D26:D30)-15000000</f>
        <v>-1409416.5602372047</v>
      </c>
      <c r="I39" s="21"/>
    </row>
    <row r="40" spans="1:15" x14ac:dyDescent="0.2">
      <c r="A40" t="s">
        <v>93</v>
      </c>
      <c r="B40" s="5">
        <v>0.05</v>
      </c>
      <c r="I40" s="8"/>
    </row>
    <row r="41" spans="1:15" x14ac:dyDescent="0.2">
      <c r="A41" t="s">
        <v>97</v>
      </c>
      <c r="B41" s="6">
        <f>16342301.49-15000000</f>
        <v>1342301.4900000002</v>
      </c>
      <c r="I41" s="21"/>
    </row>
    <row r="42" spans="1:15" s="33" customFormat="1" x14ac:dyDescent="0.2"/>
    <row r="43" spans="1:15" x14ac:dyDescent="0.2">
      <c r="A43" s="31" t="s">
        <v>99</v>
      </c>
      <c r="B43" s="31" t="s">
        <v>56</v>
      </c>
      <c r="C43" s="31" t="s">
        <v>57</v>
      </c>
      <c r="D43" s="31" t="s">
        <v>58</v>
      </c>
      <c r="E43" s="31" t="s">
        <v>59</v>
      </c>
      <c r="F43" s="31" t="s">
        <v>60</v>
      </c>
    </row>
    <row r="44" spans="1:15" x14ac:dyDescent="0.2">
      <c r="B44" t="s">
        <v>66</v>
      </c>
      <c r="C44" t="s">
        <v>67</v>
      </c>
      <c r="D44" t="s">
        <v>68</v>
      </c>
      <c r="E44" t="s">
        <v>69</v>
      </c>
    </row>
    <row r="45" spans="1:15" x14ac:dyDescent="0.2">
      <c r="A45" s="31" t="s">
        <v>72</v>
      </c>
      <c r="B45" s="34"/>
      <c r="C45" s="31"/>
      <c r="D45" s="34">
        <v>-15000000</v>
      </c>
      <c r="E45" s="34">
        <v>-15000000</v>
      </c>
      <c r="F45" s="35"/>
    </row>
    <row r="46" spans="1:15" x14ac:dyDescent="0.2">
      <c r="A46" t="s">
        <v>75</v>
      </c>
      <c r="B46" s="6">
        <f>PMT(2%,5,-15000000)</f>
        <v>3182375.9115648335</v>
      </c>
      <c r="C46" s="32">
        <v>1.4E-2</v>
      </c>
      <c r="D46">
        <f>B46/(1+C46)</f>
        <v>3138437.7826083172</v>
      </c>
      <c r="E46" s="6">
        <f>PMT(2%,5,-15000000)</f>
        <v>3182375.9115648335</v>
      </c>
    </row>
    <row r="47" spans="1:15" x14ac:dyDescent="0.2">
      <c r="A47" s="31" t="s">
        <v>77</v>
      </c>
      <c r="B47" s="6">
        <f>PMT(2%,5,-15000000)</f>
        <v>3182375.9115648335</v>
      </c>
      <c r="C47" s="32">
        <v>1.4E-2</v>
      </c>
      <c r="D47" s="31">
        <f>B47/(1+C47)^2</f>
        <v>3095106.2944855196</v>
      </c>
      <c r="E47" s="6">
        <f>PMT(2%,5,-15000000)</f>
        <v>3182375.9115648335</v>
      </c>
      <c r="F47" s="31"/>
    </row>
    <row r="48" spans="1:15" x14ac:dyDescent="0.2">
      <c r="A48" t="s">
        <v>78</v>
      </c>
      <c r="B48" s="6">
        <f>PMT(2%,5,-15000000)</f>
        <v>3182375.9115648335</v>
      </c>
      <c r="C48" s="32">
        <v>1.4E-2</v>
      </c>
      <c r="D48">
        <f>B48/(1+C48)^3</f>
        <v>3052373.0714847329</v>
      </c>
      <c r="E48" s="6">
        <f>PMT(2%,5,-15000000)</f>
        <v>3182375.9115648335</v>
      </c>
    </row>
    <row r="49" spans="1:12" x14ac:dyDescent="0.2">
      <c r="A49" s="31" t="s">
        <v>86</v>
      </c>
      <c r="B49" s="6">
        <f>PMT(2%,5,-15000000)</f>
        <v>3182375.9115648335</v>
      </c>
      <c r="C49" s="32">
        <v>1.4E-2</v>
      </c>
      <c r="D49" s="31">
        <f>B49/(1+C49)^4</f>
        <v>3010229.8535352396</v>
      </c>
      <c r="E49" s="6">
        <f>PMT(2%,5,-15000000)</f>
        <v>3182375.9115648335</v>
      </c>
      <c r="F49" s="31"/>
    </row>
    <row r="50" spans="1:12" x14ac:dyDescent="0.2">
      <c r="A50" t="s">
        <v>88</v>
      </c>
      <c r="B50" s="6">
        <f>PMT(2%,5,-15000000)</f>
        <v>3182375.9115648335</v>
      </c>
      <c r="C50" s="32">
        <v>1.4E-2</v>
      </c>
      <c r="D50">
        <f>B50/(1+C50)^5</f>
        <v>2968668.4946106896</v>
      </c>
      <c r="E50" s="6">
        <f>PMT(2%,5,-15000000)</f>
        <v>3182375.9115648335</v>
      </c>
    </row>
    <row r="51" spans="1:12" x14ac:dyDescent="0.2">
      <c r="A51" s="31"/>
      <c r="B51" s="34"/>
      <c r="C51" s="31"/>
      <c r="D51" s="34"/>
      <c r="E51" s="34"/>
      <c r="F51" s="31"/>
    </row>
    <row r="52" spans="1:12" x14ac:dyDescent="0.2">
      <c r="B52" s="21"/>
      <c r="E52" s="6"/>
    </row>
    <row r="53" spans="1:12" x14ac:dyDescent="0.2">
      <c r="A53" s="31"/>
      <c r="B53" s="36"/>
      <c r="C53" s="31"/>
      <c r="D53" s="31"/>
      <c r="E53" s="34"/>
      <c r="F53" s="31"/>
    </row>
    <row r="54" spans="1:12" x14ac:dyDescent="0.2">
      <c r="B54" s="6"/>
      <c r="E54" s="6"/>
    </row>
    <row r="55" spans="1:12" x14ac:dyDescent="0.2">
      <c r="A55" s="31"/>
      <c r="B55" s="34"/>
      <c r="C55" s="31"/>
      <c r="D55" s="31"/>
      <c r="E55" s="34"/>
      <c r="F55" s="31"/>
    </row>
    <row r="56" spans="1:12" x14ac:dyDescent="0.2">
      <c r="B56" s="6"/>
    </row>
    <row r="57" spans="1:12" x14ac:dyDescent="0.2">
      <c r="A57" s="31"/>
      <c r="B57" s="34"/>
      <c r="C57" s="31"/>
      <c r="D57" s="31"/>
      <c r="E57" s="31"/>
      <c r="F57" s="31"/>
    </row>
    <row r="59" spans="1:12" x14ac:dyDescent="0.2">
      <c r="A59" s="31" t="s">
        <v>94</v>
      </c>
      <c r="B59" s="37">
        <f>NPV(5%,D46:D50)-15000000</f>
        <v>-1764351.3683643341</v>
      </c>
      <c r="C59" s="31"/>
      <c r="D59" s="31"/>
      <c r="E59" s="31"/>
      <c r="F59" s="31"/>
    </row>
    <row r="60" spans="1:12" x14ac:dyDescent="0.2">
      <c r="A60" t="s">
        <v>93</v>
      </c>
      <c r="B60" s="5">
        <v>0.02</v>
      </c>
    </row>
    <row r="61" spans="1:12" x14ac:dyDescent="0.2">
      <c r="A61" s="31" t="s">
        <v>97</v>
      </c>
      <c r="B61" s="34">
        <f>16680334.64-15000000</f>
        <v>1680334.6400000006</v>
      </c>
      <c r="C61" s="31"/>
      <c r="D61" s="31"/>
      <c r="E61" s="31"/>
      <c r="F61" s="31"/>
    </row>
    <row r="62" spans="1:12" s="33" customFormat="1" x14ac:dyDescent="0.2">
      <c r="L62"/>
    </row>
    <row r="63" spans="1:12" s="33" customFormat="1" x14ac:dyDescent="0.2">
      <c r="L63"/>
    </row>
    <row r="64" spans="1:12" x14ac:dyDescent="0.2">
      <c r="A64" s="48" t="s">
        <v>79</v>
      </c>
      <c r="B64" s="48" t="s">
        <v>100</v>
      </c>
      <c r="C64" s="48" t="s">
        <v>82</v>
      </c>
      <c r="D64" s="48" t="s">
        <v>101</v>
      </c>
    </row>
    <row r="65" spans="1:4" x14ac:dyDescent="0.2">
      <c r="A65" s="31" t="s">
        <v>87</v>
      </c>
      <c r="B65" s="35">
        <v>0.05</v>
      </c>
      <c r="C65" s="35">
        <v>0.3</v>
      </c>
      <c r="D65" s="55">
        <f>B65*(1-C65)</f>
        <v>3.4999999999999996E-2</v>
      </c>
    </row>
    <row r="66" spans="1:4" x14ac:dyDescent="0.2">
      <c r="A66" t="s">
        <v>89</v>
      </c>
      <c r="B66" s="8">
        <v>0.03</v>
      </c>
      <c r="C66" s="8">
        <v>0.3</v>
      </c>
      <c r="D66" s="32">
        <f>B66*(1-C66)</f>
        <v>2.0999999999999998E-2</v>
      </c>
    </row>
    <row r="67" spans="1:4" x14ac:dyDescent="0.2">
      <c r="A67" s="31" t="s">
        <v>90</v>
      </c>
      <c r="B67" s="35">
        <v>0.02</v>
      </c>
      <c r="C67" s="35">
        <v>0.3</v>
      </c>
      <c r="D67" s="55">
        <f>B67*(1-C67)</f>
        <v>1.3999999999999999E-2</v>
      </c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37518-17BF-42CB-811B-3836F20C360A}">
  <dimension ref="A1:E3"/>
  <sheetViews>
    <sheetView workbookViewId="0">
      <selection activeCell="E7" sqref="E7"/>
    </sheetView>
  </sheetViews>
  <sheetFormatPr baseColWidth="10" defaultColWidth="8.83203125" defaultRowHeight="16" x14ac:dyDescent="0.2"/>
  <cols>
    <col min="1" max="1" width="13.6640625" customWidth="1"/>
    <col min="2" max="2" width="13.1640625" customWidth="1"/>
    <col min="3" max="3" width="10.1640625" customWidth="1"/>
    <col min="4" max="4" width="10.6640625" customWidth="1"/>
    <col min="5" max="5" width="17.1640625" customWidth="1"/>
  </cols>
  <sheetData>
    <row r="1" spans="1:5" x14ac:dyDescent="0.2">
      <c r="A1" t="s">
        <v>102</v>
      </c>
      <c r="B1" t="s">
        <v>103</v>
      </c>
      <c r="C1" t="s">
        <v>104</v>
      </c>
      <c r="D1" t="s">
        <v>105</v>
      </c>
      <c r="E1" t="s">
        <v>106</v>
      </c>
    </row>
    <row r="2" spans="1:5" x14ac:dyDescent="0.2">
      <c r="A2" t="s">
        <v>107</v>
      </c>
      <c r="B2" t="s">
        <v>108</v>
      </c>
      <c r="C2" t="s">
        <v>109</v>
      </c>
      <c r="D2" t="s">
        <v>110</v>
      </c>
      <c r="E2" t="s">
        <v>111</v>
      </c>
    </row>
    <row r="3" spans="1:5" x14ac:dyDescent="0.2">
      <c r="A3" t="s">
        <v>112</v>
      </c>
      <c r="B3" t="s">
        <v>113</v>
      </c>
      <c r="C3" t="s">
        <v>114</v>
      </c>
      <c r="D3" t="s">
        <v>115</v>
      </c>
      <c r="E3" t="s">
        <v>116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9CAF8-D7F4-438E-9865-46FCD541D4B3}">
  <dimension ref="A1:C11"/>
  <sheetViews>
    <sheetView workbookViewId="0">
      <selection activeCell="E12" sqref="E12"/>
    </sheetView>
  </sheetViews>
  <sheetFormatPr baseColWidth="10" defaultColWidth="8.83203125" defaultRowHeight="16" x14ac:dyDescent="0.2"/>
  <cols>
    <col min="1" max="1" width="14.1640625" customWidth="1"/>
    <col min="2" max="2" width="20" customWidth="1"/>
    <col min="3" max="3" width="15.83203125" customWidth="1"/>
  </cols>
  <sheetData>
    <row r="1" spans="1:3" x14ac:dyDescent="0.2">
      <c r="A1" t="s">
        <v>107</v>
      </c>
      <c r="B1" t="s">
        <v>117</v>
      </c>
      <c r="C1" t="s">
        <v>118</v>
      </c>
    </row>
    <row r="2" spans="1:3" x14ac:dyDescent="0.2">
      <c r="A2" s="8">
        <v>0.7</v>
      </c>
      <c r="B2">
        <f>10000 * 2000 * A2 - 1200000</f>
        <v>12800000</v>
      </c>
      <c r="C2" s="21">
        <f>NPV(0.03,B2,B2,B2,B2,B2,B2,B2,B2,B2,B2)-22000000</f>
        <v>87186596.310730591</v>
      </c>
    </row>
    <row r="3" spans="1:3" x14ac:dyDescent="0.2">
      <c r="A3" s="8">
        <v>0.75</v>
      </c>
      <c r="B3">
        <f t="shared" ref="B3:B11" si="0">10000 * 2000 * A3 - 1200000</f>
        <v>13800000</v>
      </c>
      <c r="C3" s="21">
        <f t="shared" ref="C3:C11" si="1">NPV(0.03,B3,B3,B3,B3,B3,B3,B3,B3,B3,B3)-22000000</f>
        <v>95716799.147506431</v>
      </c>
    </row>
    <row r="4" spans="1:3" x14ac:dyDescent="0.2">
      <c r="A4" s="8">
        <v>0.8</v>
      </c>
      <c r="B4">
        <f t="shared" si="0"/>
        <v>14800000</v>
      </c>
      <c r="C4" s="21">
        <f t="shared" si="1"/>
        <v>104247001.98428227</v>
      </c>
    </row>
    <row r="5" spans="1:3" x14ac:dyDescent="0.2">
      <c r="A5" s="8">
        <v>0.85</v>
      </c>
      <c r="B5">
        <f t="shared" si="0"/>
        <v>15800000</v>
      </c>
      <c r="C5" s="21">
        <f t="shared" si="1"/>
        <v>112777204.82105809</v>
      </c>
    </row>
    <row r="6" spans="1:3" x14ac:dyDescent="0.2">
      <c r="A6" s="8">
        <v>0.9</v>
      </c>
      <c r="B6">
        <f t="shared" si="0"/>
        <v>16800000</v>
      </c>
      <c r="C6" s="21">
        <f t="shared" si="1"/>
        <v>121307407.65783393</v>
      </c>
    </row>
    <row r="7" spans="1:3" x14ac:dyDescent="0.2">
      <c r="A7" s="8">
        <v>0.95</v>
      </c>
      <c r="B7">
        <f t="shared" si="0"/>
        <v>17800000</v>
      </c>
      <c r="C7" s="21">
        <f t="shared" si="1"/>
        <v>129837610.49460974</v>
      </c>
    </row>
    <row r="8" spans="1:3" x14ac:dyDescent="0.2">
      <c r="A8" s="8">
        <v>0.95</v>
      </c>
      <c r="B8">
        <f t="shared" si="0"/>
        <v>17800000</v>
      </c>
      <c r="C8" s="21">
        <f t="shared" si="1"/>
        <v>129837610.49460974</v>
      </c>
    </row>
    <row r="9" spans="1:3" x14ac:dyDescent="0.2">
      <c r="A9" s="8">
        <v>0.95</v>
      </c>
      <c r="B9">
        <f t="shared" si="0"/>
        <v>17800000</v>
      </c>
      <c r="C9" s="21">
        <f t="shared" si="1"/>
        <v>129837610.49460974</v>
      </c>
    </row>
    <row r="10" spans="1:3" x14ac:dyDescent="0.2">
      <c r="A10" s="8">
        <v>0.95</v>
      </c>
      <c r="B10">
        <f t="shared" si="0"/>
        <v>17800000</v>
      </c>
      <c r="C10" s="21">
        <f t="shared" si="1"/>
        <v>129837610.49460974</v>
      </c>
    </row>
    <row r="11" spans="1:3" x14ac:dyDescent="0.2">
      <c r="A11" s="8">
        <v>0.95</v>
      </c>
      <c r="B11">
        <f t="shared" si="0"/>
        <v>17800000</v>
      </c>
      <c r="C11" s="21">
        <f t="shared" si="1"/>
        <v>129837610.49460974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E2352-BE8A-4DCB-948C-506E0F3ADAEB}">
  <dimension ref="A1:F11"/>
  <sheetViews>
    <sheetView workbookViewId="0">
      <selection activeCell="C27" sqref="C27"/>
    </sheetView>
  </sheetViews>
  <sheetFormatPr baseColWidth="10" defaultColWidth="8.83203125" defaultRowHeight="16" x14ac:dyDescent="0.2"/>
  <cols>
    <col min="1" max="1" width="10" customWidth="1"/>
    <col min="2" max="2" width="17.33203125" customWidth="1"/>
    <col min="3" max="3" width="18.83203125" customWidth="1"/>
    <col min="4" max="4" width="20.6640625" customWidth="1"/>
    <col min="5" max="5" width="15.1640625" customWidth="1"/>
    <col min="6" max="6" width="39.33203125" customWidth="1"/>
  </cols>
  <sheetData>
    <row r="1" spans="1:6" x14ac:dyDescent="0.2">
      <c r="A1" t="s">
        <v>119</v>
      </c>
      <c r="B1" t="s">
        <v>120</v>
      </c>
      <c r="C1" t="s">
        <v>121</v>
      </c>
      <c r="D1" t="s">
        <v>117</v>
      </c>
      <c r="E1" t="s">
        <v>118</v>
      </c>
    </row>
    <row r="2" spans="1:6" x14ac:dyDescent="0.2">
      <c r="A2" s="8">
        <v>-0.1</v>
      </c>
      <c r="B2">
        <v>1080</v>
      </c>
      <c r="C2">
        <v>2500</v>
      </c>
      <c r="D2">
        <f xml:space="preserve"> ((3000 * B2) + (7000 * C2)) * 0.8 - 1200000</f>
        <v>15392000</v>
      </c>
      <c r="E2" s="21">
        <f>NPV(0.03, D2, D2, D2, D2, D2, D2, D2, D2, D2, D2) - 22000000</f>
        <v>109296882.06365354</v>
      </c>
      <c r="F2" s="8"/>
    </row>
    <row r="3" spans="1:6" x14ac:dyDescent="0.2">
      <c r="A3" s="8">
        <v>-0.05</v>
      </c>
      <c r="B3">
        <v>1140</v>
      </c>
      <c r="C3">
        <v>2500</v>
      </c>
      <c r="D3">
        <f t="shared" ref="D3:D6" si="0" xml:space="preserve"> ((3000 * B3) + (7000 * C3)) * 0.8 - 1200000</f>
        <v>15536000</v>
      </c>
      <c r="E3" s="21">
        <f t="shared" ref="E3:E6" si="1">NPV(0.03, D3, D3, D3, D3, D3, D3, D3, D3, D3, D3) - 22000000</f>
        <v>110525231.27214928</v>
      </c>
    </row>
    <row r="4" spans="1:6" x14ac:dyDescent="0.2">
      <c r="A4" s="8">
        <v>0</v>
      </c>
      <c r="B4">
        <v>1200</v>
      </c>
      <c r="C4">
        <v>2500</v>
      </c>
      <c r="D4">
        <f t="shared" si="0"/>
        <v>15680000</v>
      </c>
      <c r="E4" s="21">
        <f t="shared" si="1"/>
        <v>111753580.480645</v>
      </c>
    </row>
    <row r="5" spans="1:6" x14ac:dyDescent="0.2">
      <c r="A5" s="8">
        <v>0.05</v>
      </c>
      <c r="B5">
        <v>1260</v>
      </c>
      <c r="C5">
        <v>2500</v>
      </c>
      <c r="D5">
        <f t="shared" si="0"/>
        <v>15824000</v>
      </c>
      <c r="E5" s="21">
        <f t="shared" si="1"/>
        <v>112981929.68914071</v>
      </c>
    </row>
    <row r="6" spans="1:6" x14ac:dyDescent="0.2">
      <c r="A6" s="8">
        <v>0.1</v>
      </c>
      <c r="B6">
        <v>1320</v>
      </c>
      <c r="C6">
        <v>2500</v>
      </c>
      <c r="D6">
        <f t="shared" si="0"/>
        <v>15968000</v>
      </c>
      <c r="E6" s="21">
        <f t="shared" si="1"/>
        <v>114210278.89763644</v>
      </c>
    </row>
    <row r="11" spans="1:6" x14ac:dyDescent="0.2">
      <c r="A11" s="19" t="s">
        <v>122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6F3D2-85DD-4ACA-B0E7-D7DF9A210FA1}">
  <dimension ref="A1:D6"/>
  <sheetViews>
    <sheetView workbookViewId="0">
      <selection activeCell="D11" sqref="D11"/>
    </sheetView>
  </sheetViews>
  <sheetFormatPr baseColWidth="10" defaultColWidth="11" defaultRowHeight="16" x14ac:dyDescent="0.2"/>
  <cols>
    <col min="1" max="1" width="27.5" customWidth="1"/>
    <col min="2" max="2" width="18.6640625" customWidth="1"/>
    <col min="3" max="3" width="18.1640625" customWidth="1"/>
    <col min="4" max="4" width="16.83203125" customWidth="1"/>
  </cols>
  <sheetData>
    <row r="1" spans="1:4" x14ac:dyDescent="0.2">
      <c r="A1" s="19" t="s">
        <v>123</v>
      </c>
    </row>
    <row r="2" spans="1:4" x14ac:dyDescent="0.2">
      <c r="B2" t="s">
        <v>124</v>
      </c>
      <c r="C2" t="s">
        <v>125</v>
      </c>
      <c r="D2" t="s">
        <v>126</v>
      </c>
    </row>
    <row r="3" spans="1:4" x14ac:dyDescent="0.2">
      <c r="A3" t="s">
        <v>127</v>
      </c>
      <c r="B3" s="26">
        <v>22000000</v>
      </c>
      <c r="C3" s="26">
        <v>23500000</v>
      </c>
      <c r="D3" s="5">
        <v>6.8199999999999997E-2</v>
      </c>
    </row>
    <row r="4" spans="1:4" x14ac:dyDescent="0.2">
      <c r="A4" t="s">
        <v>94</v>
      </c>
      <c r="B4" s="26">
        <v>284564300</v>
      </c>
      <c r="C4" s="26">
        <v>169502100</v>
      </c>
      <c r="D4" s="5">
        <v>-0.40429999999999999</v>
      </c>
    </row>
    <row r="5" spans="1:4" x14ac:dyDescent="0.2">
      <c r="A5" t="s">
        <v>93</v>
      </c>
      <c r="B5" s="5">
        <v>0.30480000000000002</v>
      </c>
      <c r="C5" s="5">
        <v>0.27400000000000002</v>
      </c>
      <c r="D5" s="5">
        <v>-0.10100000000000001</v>
      </c>
    </row>
    <row r="6" spans="1:4" x14ac:dyDescent="0.2">
      <c r="A6" t="s">
        <v>128</v>
      </c>
      <c r="B6">
        <v>7</v>
      </c>
      <c r="C6">
        <v>8</v>
      </c>
      <c r="D6" s="5">
        <v>0.14299999999999999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24279-EF2A-4E62-9569-D098B7C0DA66}">
  <dimension ref="A1:G30"/>
  <sheetViews>
    <sheetView tabSelected="1" topLeftCell="B1" workbookViewId="0">
      <selection activeCell="B16" sqref="B16"/>
    </sheetView>
  </sheetViews>
  <sheetFormatPr baseColWidth="10" defaultColWidth="8.83203125" defaultRowHeight="16" x14ac:dyDescent="0.2"/>
  <cols>
    <col min="1" max="1" width="17.83203125" customWidth="1"/>
    <col min="2" max="3" width="22.1640625" customWidth="1"/>
    <col min="4" max="4" width="15.33203125" customWidth="1"/>
    <col min="5" max="5" width="12.83203125" customWidth="1"/>
    <col min="6" max="6" width="16.5" customWidth="1"/>
    <col min="7" max="7" width="17.6640625" customWidth="1"/>
  </cols>
  <sheetData>
    <row r="1" spans="1:3" x14ac:dyDescent="0.2">
      <c r="A1" s="19" t="s">
        <v>129</v>
      </c>
      <c r="B1" s="19" t="s">
        <v>130</v>
      </c>
      <c r="C1" s="19" t="s">
        <v>131</v>
      </c>
    </row>
    <row r="2" spans="1:3" x14ac:dyDescent="0.2">
      <c r="A2" t="s">
        <v>132</v>
      </c>
      <c r="B2" t="s">
        <v>133</v>
      </c>
      <c r="C2" t="s">
        <v>134</v>
      </c>
    </row>
    <row r="3" spans="1:3" x14ac:dyDescent="0.2">
      <c r="A3" t="s">
        <v>135</v>
      </c>
      <c r="B3" t="s">
        <v>136</v>
      </c>
      <c r="C3" t="s">
        <v>137</v>
      </c>
    </row>
    <row r="4" spans="1:3" x14ac:dyDescent="0.2">
      <c r="A4" t="s">
        <v>138</v>
      </c>
      <c r="B4" t="s">
        <v>139</v>
      </c>
      <c r="C4" t="s">
        <v>137</v>
      </c>
    </row>
    <row r="5" spans="1:3" x14ac:dyDescent="0.2">
      <c r="A5" t="s">
        <v>140</v>
      </c>
      <c r="B5" t="s">
        <v>141</v>
      </c>
      <c r="C5" t="s">
        <v>142</v>
      </c>
    </row>
    <row r="6" spans="1:3" x14ac:dyDescent="0.2">
      <c r="A6" t="s">
        <v>143</v>
      </c>
      <c r="B6" t="s">
        <v>144</v>
      </c>
      <c r="C6" t="s">
        <v>145</v>
      </c>
    </row>
    <row r="7" spans="1:3" x14ac:dyDescent="0.2">
      <c r="A7" t="s">
        <v>146</v>
      </c>
      <c r="B7" s="22">
        <v>0.8</v>
      </c>
      <c r="C7" t="s">
        <v>147</v>
      </c>
    </row>
    <row r="8" spans="1:3" x14ac:dyDescent="0.2">
      <c r="A8" t="s">
        <v>148</v>
      </c>
      <c r="B8" t="s">
        <v>149</v>
      </c>
      <c r="C8" t="s">
        <v>150</v>
      </c>
    </row>
    <row r="9" spans="1:3" x14ac:dyDescent="0.2">
      <c r="A9" t="s">
        <v>151</v>
      </c>
      <c r="B9" t="s">
        <v>152</v>
      </c>
      <c r="C9" t="s">
        <v>153</v>
      </c>
    </row>
    <row r="10" spans="1:3" x14ac:dyDescent="0.2">
      <c r="A10" t="s">
        <v>154</v>
      </c>
      <c r="B10" t="s">
        <v>155</v>
      </c>
      <c r="C10" t="s">
        <v>156</v>
      </c>
    </row>
    <row r="11" spans="1:3" x14ac:dyDescent="0.2">
      <c r="A11" t="s">
        <v>157</v>
      </c>
      <c r="B11" t="s">
        <v>158</v>
      </c>
      <c r="C11" t="s">
        <v>159</v>
      </c>
    </row>
    <row r="12" spans="1:3" x14ac:dyDescent="0.2">
      <c r="A12" t="s">
        <v>160</v>
      </c>
      <c r="B12" t="s">
        <v>161</v>
      </c>
      <c r="C12" t="s">
        <v>162</v>
      </c>
    </row>
    <row r="13" spans="1:3" x14ac:dyDescent="0.2">
      <c r="A13" t="s">
        <v>163</v>
      </c>
      <c r="B13" t="s">
        <v>164</v>
      </c>
      <c r="C13" t="s">
        <v>165</v>
      </c>
    </row>
    <row r="14" spans="1:3" x14ac:dyDescent="0.2">
      <c r="A14" t="s">
        <v>166</v>
      </c>
      <c r="B14" s="22">
        <v>0.03</v>
      </c>
      <c r="C14" t="s">
        <v>167</v>
      </c>
    </row>
    <row r="18" spans="1:7" x14ac:dyDescent="0.2">
      <c r="A18" t="s">
        <v>28</v>
      </c>
      <c r="B18" t="s">
        <v>107</v>
      </c>
      <c r="C18" t="s">
        <v>34</v>
      </c>
      <c r="D18" t="s">
        <v>168</v>
      </c>
      <c r="E18" t="s">
        <v>169</v>
      </c>
      <c r="F18" t="s">
        <v>170</v>
      </c>
      <c r="G18" t="s">
        <v>51</v>
      </c>
    </row>
    <row r="19" spans="1:7" x14ac:dyDescent="0.2">
      <c r="A19">
        <v>2026</v>
      </c>
      <c r="B19" s="8">
        <v>0.8</v>
      </c>
      <c r="C19">
        <f>((3000*1200)+(7000*2500)) * B19 * (1 + 2.5%)^(A19 - 2026)</f>
        <v>16880000</v>
      </c>
      <c r="D19">
        <f>C19 * 10%</f>
        <v>1688000</v>
      </c>
      <c r="E19">
        <f>C19 + D19</f>
        <v>18568000</v>
      </c>
      <c r="F19">
        <f>1200000 * (1 + 2.5%)^(A19 - 2026)</f>
        <v>1200000</v>
      </c>
      <c r="G19">
        <f>E19 - F19</f>
        <v>17368000</v>
      </c>
    </row>
    <row r="20" spans="1:7" x14ac:dyDescent="0.2">
      <c r="A20">
        <v>2027</v>
      </c>
      <c r="B20" s="8">
        <v>0.85</v>
      </c>
      <c r="C20">
        <f t="shared" ref="C20:C28" si="0">((3000*1200)+(7000*2500)) * B20 * (1 + 2.5%)^(A20 - 2026)</f>
        <v>18383375</v>
      </c>
      <c r="D20">
        <f t="shared" ref="D20:D28" si="1">C20 * 10%</f>
        <v>1838337.5</v>
      </c>
      <c r="E20">
        <f t="shared" ref="E20:E28" si="2">C20 + D20</f>
        <v>20221712.5</v>
      </c>
      <c r="F20">
        <f t="shared" ref="F20:F28" si="3">1200000 * (1 + 2.5%)^(A20 - 2026)</f>
        <v>1230000</v>
      </c>
      <c r="G20">
        <f t="shared" ref="G20:G28" si="4">E20 - F20</f>
        <v>18991712.5</v>
      </c>
    </row>
    <row r="21" spans="1:7" x14ac:dyDescent="0.2">
      <c r="A21">
        <v>2028</v>
      </c>
      <c r="B21" s="8">
        <v>0.9</v>
      </c>
      <c r="C21">
        <f t="shared" si="0"/>
        <v>19951368.75</v>
      </c>
      <c r="D21">
        <f t="shared" si="1"/>
        <v>1995136.875</v>
      </c>
      <c r="E21">
        <f t="shared" si="2"/>
        <v>21946505.625</v>
      </c>
      <c r="F21">
        <f t="shared" si="3"/>
        <v>1260750</v>
      </c>
      <c r="G21">
        <f t="shared" si="4"/>
        <v>20685755.625</v>
      </c>
    </row>
    <row r="22" spans="1:7" x14ac:dyDescent="0.2">
      <c r="A22">
        <v>2029</v>
      </c>
      <c r="B22" s="8">
        <v>0.95</v>
      </c>
      <c r="C22">
        <f t="shared" si="0"/>
        <v>21586272.578124996</v>
      </c>
      <c r="D22">
        <f t="shared" si="1"/>
        <v>2158627.2578124995</v>
      </c>
      <c r="E22">
        <f t="shared" si="2"/>
        <v>23744899.835937496</v>
      </c>
      <c r="F22">
        <f t="shared" si="3"/>
        <v>1292268.7499999998</v>
      </c>
      <c r="G22">
        <f t="shared" si="4"/>
        <v>22452631.085937496</v>
      </c>
    </row>
    <row r="23" spans="1:7" x14ac:dyDescent="0.2">
      <c r="A23">
        <v>2030</v>
      </c>
      <c r="B23" s="8">
        <v>0.95</v>
      </c>
      <c r="C23">
        <f t="shared" si="0"/>
        <v>22125929.392578121</v>
      </c>
      <c r="D23">
        <f t="shared" si="1"/>
        <v>2212592.9392578122</v>
      </c>
      <c r="E23">
        <f t="shared" si="2"/>
        <v>24338522.331835933</v>
      </c>
      <c r="F23">
        <f t="shared" si="3"/>
        <v>1324575.4687499998</v>
      </c>
      <c r="G23">
        <f t="shared" si="4"/>
        <v>23013946.863085933</v>
      </c>
    </row>
    <row r="24" spans="1:7" x14ac:dyDescent="0.2">
      <c r="A24">
        <v>2031</v>
      </c>
      <c r="B24" s="8">
        <v>0.95</v>
      </c>
      <c r="C24">
        <f t="shared" si="0"/>
        <v>22679077.627392571</v>
      </c>
      <c r="D24">
        <f t="shared" si="1"/>
        <v>2267907.7627392574</v>
      </c>
      <c r="E24">
        <f t="shared" si="2"/>
        <v>24946985.390131827</v>
      </c>
      <c r="F24">
        <f t="shared" si="3"/>
        <v>1357689.8554687495</v>
      </c>
      <c r="G24">
        <f t="shared" si="4"/>
        <v>23589295.534663077</v>
      </c>
    </row>
    <row r="25" spans="1:7" x14ac:dyDescent="0.2">
      <c r="A25">
        <v>2032</v>
      </c>
      <c r="B25" s="8">
        <v>0.95</v>
      </c>
      <c r="C25">
        <f t="shared" si="0"/>
        <v>23246054.568077385</v>
      </c>
      <c r="D25">
        <f t="shared" si="1"/>
        <v>2324605.4568077386</v>
      </c>
      <c r="E25">
        <f t="shared" si="2"/>
        <v>25570660.024885125</v>
      </c>
      <c r="F25">
        <f t="shared" si="3"/>
        <v>1391632.1018554682</v>
      </c>
      <c r="G25">
        <f t="shared" si="4"/>
        <v>24179027.923029657</v>
      </c>
    </row>
    <row r="26" spans="1:7" x14ac:dyDescent="0.2">
      <c r="A26">
        <v>2033</v>
      </c>
      <c r="B26" s="8">
        <v>0.95</v>
      </c>
      <c r="C26">
        <f t="shared" si="0"/>
        <v>23827205.932279319</v>
      </c>
      <c r="D26">
        <f t="shared" si="1"/>
        <v>2382720.5932279318</v>
      </c>
      <c r="E26">
        <f t="shared" si="2"/>
        <v>26209926.525507249</v>
      </c>
      <c r="F26">
        <f t="shared" si="3"/>
        <v>1426422.9044018551</v>
      </c>
      <c r="G26">
        <f t="shared" si="4"/>
        <v>24783503.621105395</v>
      </c>
    </row>
    <row r="27" spans="1:7" x14ac:dyDescent="0.2">
      <c r="A27">
        <v>2034</v>
      </c>
      <c r="B27" s="8">
        <v>0.95</v>
      </c>
      <c r="C27">
        <f t="shared" si="0"/>
        <v>24422886.080586299</v>
      </c>
      <c r="D27">
        <f t="shared" si="1"/>
        <v>2442288.60805863</v>
      </c>
      <c r="E27">
        <f t="shared" si="2"/>
        <v>26865174.688644931</v>
      </c>
      <c r="F27">
        <f t="shared" si="3"/>
        <v>1462083.4770119013</v>
      </c>
      <c r="G27">
        <f t="shared" si="4"/>
        <v>25403091.21163303</v>
      </c>
    </row>
    <row r="28" spans="1:7" x14ac:dyDescent="0.2">
      <c r="A28">
        <v>2035</v>
      </c>
      <c r="B28" s="8">
        <v>0.95</v>
      </c>
      <c r="C28">
        <f t="shared" si="0"/>
        <v>25033458.232600953</v>
      </c>
      <c r="D28">
        <f t="shared" si="1"/>
        <v>2503345.8232600954</v>
      </c>
      <c r="E28">
        <f t="shared" si="2"/>
        <v>27536804.055861048</v>
      </c>
      <c r="F28">
        <f t="shared" si="3"/>
        <v>1498635.5639371986</v>
      </c>
      <c r="G28">
        <f t="shared" si="4"/>
        <v>26038168.49192385</v>
      </c>
    </row>
    <row r="30" spans="1:7" x14ac:dyDescent="0.2">
      <c r="A30" t="s">
        <v>94</v>
      </c>
      <c r="B30" s="7">
        <f>NPV(3%,G19:G28)-22000000</f>
        <v>169318897.29702803</v>
      </c>
    </row>
  </sheetData>
  <pageMargins left="0.7" right="0.7" top="0.75" bottom="0.75" header="0.3" footer="0.3"/>
  <pageSetup paperSize="9"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65FFE-F81D-48EB-B18B-CF083CE32F26}">
  <dimension ref="A1:C17"/>
  <sheetViews>
    <sheetView topLeftCell="I1" workbookViewId="0">
      <selection activeCell="C3" sqref="C3"/>
    </sheetView>
  </sheetViews>
  <sheetFormatPr baseColWidth="10" defaultColWidth="8.83203125" defaultRowHeight="16" x14ac:dyDescent="0.2"/>
  <cols>
    <col min="1" max="1" width="14.5" customWidth="1"/>
    <col min="2" max="2" width="23.83203125" customWidth="1"/>
    <col min="3" max="3" width="16.83203125" customWidth="1"/>
  </cols>
  <sheetData>
    <row r="1" spans="1:3" x14ac:dyDescent="0.2">
      <c r="A1" t="s">
        <v>107</v>
      </c>
      <c r="B1" t="s">
        <v>171</v>
      </c>
      <c r="C1" t="s">
        <v>94</v>
      </c>
    </row>
    <row r="2" spans="1:3" x14ac:dyDescent="0.2">
      <c r="A2" s="8">
        <v>0.5</v>
      </c>
      <c r="B2">
        <f>21100000*A2 + 21100000*A2*10% - 1200000</f>
        <v>10405000</v>
      </c>
      <c r="C2" s="21">
        <f>NPV(0.03, B2,B2,B2,B2,B2,B2,B2,B2,B2,B2) - 22000000</f>
        <v>66756760.51665251</v>
      </c>
    </row>
    <row r="3" spans="1:3" x14ac:dyDescent="0.2">
      <c r="A3" s="8">
        <v>0.55000000000000004</v>
      </c>
      <c r="B3">
        <f t="shared" ref="B3:B12" si="0">21100000*A3 + 21100000*A3*10% - 1200000</f>
        <v>11565500.000000002</v>
      </c>
      <c r="C3" s="21">
        <f t="shared" ref="C3:C12" si="1">NPV(0.03, B3,B3,B3,B3,B3,B3,B3,B3,B3,B3) - 22000000</f>
        <v>76656060.908730865</v>
      </c>
    </row>
    <row r="4" spans="1:3" x14ac:dyDescent="0.2">
      <c r="A4" s="8">
        <v>0.6</v>
      </c>
      <c r="B4">
        <f t="shared" si="0"/>
        <v>12726000</v>
      </c>
      <c r="C4" s="21">
        <f t="shared" si="1"/>
        <v>86555361.300809219</v>
      </c>
    </row>
    <row r="5" spans="1:3" x14ac:dyDescent="0.2">
      <c r="A5" s="8">
        <v>0.65</v>
      </c>
      <c r="B5">
        <f t="shared" si="0"/>
        <v>13886500</v>
      </c>
      <c r="C5" s="21">
        <f t="shared" si="1"/>
        <v>96454661.692887545</v>
      </c>
    </row>
    <row r="6" spans="1:3" x14ac:dyDescent="0.2">
      <c r="A6" s="8">
        <v>0.7</v>
      </c>
      <c r="B6">
        <f t="shared" si="0"/>
        <v>15046999.999999998</v>
      </c>
      <c r="C6" s="21">
        <f t="shared" si="1"/>
        <v>106353962.08496587</v>
      </c>
    </row>
    <row r="7" spans="1:3" x14ac:dyDescent="0.2">
      <c r="A7" s="8">
        <v>0.75</v>
      </c>
      <c r="B7">
        <f t="shared" si="0"/>
        <v>16207500</v>
      </c>
      <c r="C7" s="21">
        <f t="shared" si="1"/>
        <v>116253262.47704425</v>
      </c>
    </row>
    <row r="8" spans="1:3" x14ac:dyDescent="0.2">
      <c r="A8" s="8">
        <v>0.8</v>
      </c>
      <c r="B8">
        <f t="shared" si="0"/>
        <v>17368000</v>
      </c>
      <c r="C8" s="21">
        <f t="shared" si="1"/>
        <v>126152562.86912259</v>
      </c>
    </row>
    <row r="9" spans="1:3" x14ac:dyDescent="0.2">
      <c r="A9" s="8">
        <v>0.85</v>
      </c>
      <c r="B9">
        <f t="shared" si="0"/>
        <v>18528500</v>
      </c>
      <c r="C9" s="21">
        <f t="shared" si="1"/>
        <v>136051863.26120093</v>
      </c>
    </row>
    <row r="10" spans="1:3" x14ac:dyDescent="0.2">
      <c r="A10" s="8">
        <v>0.9</v>
      </c>
      <c r="B10">
        <f t="shared" si="0"/>
        <v>19689000</v>
      </c>
      <c r="C10" s="21">
        <f t="shared" si="1"/>
        <v>145951163.6532793</v>
      </c>
    </row>
    <row r="11" spans="1:3" x14ac:dyDescent="0.2">
      <c r="A11" s="8">
        <v>0.95</v>
      </c>
      <c r="B11">
        <f t="shared" si="0"/>
        <v>20849500</v>
      </c>
      <c r="C11" s="21">
        <f t="shared" si="1"/>
        <v>155850464.04535761</v>
      </c>
    </row>
    <row r="12" spans="1:3" x14ac:dyDescent="0.2">
      <c r="A12" s="8">
        <v>1</v>
      </c>
      <c r="B12">
        <f t="shared" si="0"/>
        <v>22010000</v>
      </c>
      <c r="C12" s="21">
        <f t="shared" si="1"/>
        <v>165749764.43743598</v>
      </c>
    </row>
    <row r="16" spans="1:3" x14ac:dyDescent="0.2">
      <c r="A16" s="19" t="s">
        <v>172</v>
      </c>
    </row>
    <row r="17" spans="1:1" x14ac:dyDescent="0.2">
      <c r="A17" t="s">
        <v>173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BDFDD-2F4F-4746-B8A5-B64284DCB09E}">
  <dimension ref="A1:B5"/>
  <sheetViews>
    <sheetView workbookViewId="0">
      <selection activeCell="K8" sqref="K8"/>
    </sheetView>
  </sheetViews>
  <sheetFormatPr baseColWidth="10" defaultColWidth="8.83203125" defaultRowHeight="16" x14ac:dyDescent="0.2"/>
  <cols>
    <col min="1" max="1" width="22" bestFit="1" customWidth="1"/>
    <col min="2" max="2" width="15.1640625" customWidth="1"/>
  </cols>
  <sheetData>
    <row r="1" spans="1:2" x14ac:dyDescent="0.2">
      <c r="A1" t="s">
        <v>174</v>
      </c>
      <c r="B1" t="s">
        <v>175</v>
      </c>
    </row>
    <row r="2" spans="1:2" x14ac:dyDescent="0.2">
      <c r="A2" t="s">
        <v>176</v>
      </c>
      <c r="B2" s="5">
        <v>0.26</v>
      </c>
    </row>
    <row r="3" spans="1:2" x14ac:dyDescent="0.2">
      <c r="A3" t="s">
        <v>177</v>
      </c>
      <c r="B3" s="23">
        <v>4.2799999999999998E-2</v>
      </c>
    </row>
    <row r="4" spans="1:2" x14ac:dyDescent="0.2">
      <c r="A4" t="s">
        <v>178</v>
      </c>
      <c r="B4" s="23" t="e">
        <f>AVERAGE([1]!Table1345610[Total return (%)])</f>
        <v>#REF!</v>
      </c>
    </row>
    <row r="5" spans="1:2" x14ac:dyDescent="0.2">
      <c r="A5" t="s">
        <v>179</v>
      </c>
      <c r="B5" s="23">
        <v>0.03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1. Assumptions Sheet</vt:lpstr>
      <vt:lpstr>2. Construction Cash Flow</vt:lpstr>
      <vt:lpstr>3. Revenue Schedule</vt:lpstr>
      <vt:lpstr>4. Operating Expense Schedule</vt:lpstr>
      <vt:lpstr>5. Loan Repayment Schedule</vt:lpstr>
      <vt:lpstr>6. Projected Financials (10Y)</vt:lpstr>
      <vt:lpstr>6.1 Cost Overrun</vt:lpstr>
      <vt:lpstr>7. NPV &amp; IRR Analysis</vt:lpstr>
      <vt:lpstr>8. Sensitivity Analysis</vt:lpstr>
      <vt:lpstr>8.1. Sensitivity in Occupancy</vt:lpstr>
      <vt:lpstr>8.2. Sensitivity in Anchor</vt:lpstr>
      <vt:lpstr>8.3 Construction Risks</vt:lpstr>
      <vt:lpstr>9. Front Door Analysis</vt:lpstr>
      <vt:lpstr>10. Back Door Analysis</vt:lpstr>
      <vt:lpstr>11. Benchmark Comparison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Lawson Ward</dc:creator>
  <cp:keywords/>
  <dc:description/>
  <cp:lastModifiedBy>Lilias Smart</cp:lastModifiedBy>
  <cp:revision/>
  <dcterms:created xsi:type="dcterms:W3CDTF">2025-05-26T04:05:54Z</dcterms:created>
  <dcterms:modified xsi:type="dcterms:W3CDTF">2025-06-06T08:33:24Z</dcterms:modified>
  <cp:category/>
  <cp:contentStatus/>
</cp:coreProperties>
</file>