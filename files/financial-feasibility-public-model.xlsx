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6fa9fba6e5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f4121d41c4c48de"/>
    <x:sheet xmlns:r="http://schemas.openxmlformats.org/officeDocument/2006/relationships" name="Assumptions" sheetId="2" r:id="Rf313e10918154eaf"/>
    <x:sheet xmlns:r="http://schemas.openxmlformats.org/officeDocument/2006/relationships" name="Revenue Extract" sheetId="3" r:id="R79bc42ea31144265"/>
    <x:sheet xmlns:r="http://schemas.openxmlformats.org/officeDocument/2006/relationships" name="Audit Register" sheetId="4" r:id="R263cacf23aa340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$#,##0;[Red]($#,##0);-"/>
  </x:numFmts>
  <x:fonts count="14">
    <x:font>
      <x:sz val="11"/>
      <x:name val="Carlito"/>
    </x:font>
    <x:font>
      <x:sz val="24"/>
      <x:color rgb="FFFFFFFF"/>
      <x:name val="Arial"/>
    </x:font>
    <x:font>
      <x:sz val="10"/>
      <x:color rgb="FF666663"/>
      <x:name val="Arial"/>
    </x:font>
    <x:font>
      <x:b/>
      <x:sz val="10"/>
      <x:color rgb="FFFFFFFF"/>
      <x:name val="Arial"/>
    </x:font>
    <x:font>
      <x:b/>
      <x:sz val="11"/>
      <x:color rgb="FF111111"/>
      <x:name val="Carlito"/>
    </x:font>
    <x:font>
      <x:b/>
      <x:sz val="9"/>
      <x:color rgb="FF111111"/>
      <x:name val="Arial"/>
    </x:font>
    <x:font>
      <x:sz val="9"/>
      <x:color rgb="FF111111"/>
      <x:name val="Arial"/>
    </x:font>
    <x:font>
      <x:b/>
      <x:sz val="9"/>
      <x:color rgb="FFFFFFFF"/>
      <x:name val="Arial"/>
    </x:font>
    <x:font>
      <x:sz val="10"/>
      <x:color rgb="FF111111"/>
      <x:name val="Arial"/>
    </x:font>
    <x:font>
      <x:sz val="9"/>
      <x:color rgb="FF0000FF"/>
      <x:name val="Arial"/>
    </x:font>
    <x:font>
      <x:sz val="11"/>
      <x:color rgb="FF666663"/>
      <x:name val="Carlito"/>
    </x:font>
    <x:font>
      <x:b/>
      <x:sz val="9"/>
      <x:color rgb="FF7A5113"/>
      <x:name val="Arial"/>
    </x:font>
    <x:font>
      <x:b/>
      <x:sz val="9"/>
      <x:color rgb="FF245B33"/>
      <x:name val="Arial"/>
    </x:font>
    <x:font>
      <x:sz val="11"/>
      <x:color rgb="FF1111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111"/>
      </x:patternFill>
    </x:fill>
    <x:fill>
      <x:patternFill patternType="solid">
        <x:fgColor rgb="FFF1F0EC"/>
      </x:patternFill>
    </x:fill>
    <x:fill>
      <x:patternFill patternType="solid">
        <x:fgColor rgb="FF728F9B"/>
      </x:patternFill>
    </x:fill>
    <x:fill>
      <x:patternFill patternType="solid">
        <x:fgColor rgb="FFE8ECEE"/>
      </x:patternFill>
    </x:fill>
    <x:fill>
      <x:patternFill patternType="solid">
        <x:fgColor rgb="FFF2E7CF"/>
      </x:patternFill>
    </x:fill>
    <x:fill>
      <x:patternFill patternType="solid">
        <x:fgColor rgb="FFDCE9DF"/>
      </x:patternFill>
    </x:fill>
  </x:fills>
  <x:borders count="19">
    <x:border/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</x:border>
    <x:border>
      <x:right style="thin">
        <x:color rgb="FF111111"/>
      </x:right>
    </x:border>
    <x:border>
      <x:left style="thin">
        <x:color rgb="FF111111"/>
      </x:left>
      <x:bottom style="thin">
        <x:color rgb="FF111111"/>
      </x:bottom>
    </x:border>
    <x:border>
      <x:bottom style="thin">
        <x:color rgb="FF111111"/>
      </x:bottom>
    </x:border>
    <x:border>
      <x:right style="thin">
        <x:color rgb="FF111111"/>
      </x:right>
      <x:bottom style="thin">
        <x:color rgb="FF111111"/>
      </x:bottom>
    </x:border>
    <x:border>
      <x:left style="thin">
        <x:color rgb="FFD2D0CA"/>
      </x:left>
      <x:right style="thin">
        <x:color rgb="FFD2D0CA"/>
      </x:right>
      <x:top style="thin">
        <x:color rgb="FFD2D0CA"/>
      </x:top>
      <x:bottom style="thin">
        <x:color rgb="FFD2D0CA"/>
      </x:bottom>
    </x:border>
    <x:border>
      <x:left style="thin">
        <x:color rgb="FF5F7983"/>
      </x:left>
      <x:right style="thin">
        <x:color rgb="FF5F7983"/>
      </x:right>
      <x:top style="thin">
        <x:color rgb="FF5F7983"/>
      </x:top>
      <x:bottom style="thin">
        <x:color rgb="FF5F7983"/>
      </x:bottom>
    </x:border>
    <x:border>
      <x:left style="medium">
        <x:color rgb="FF728F9B"/>
      </x:left>
      <x:top style="medium">
        <x:color rgb="FF728F9B"/>
      </x:top>
    </x:border>
    <x:border>
      <x:top style="medium">
        <x:color rgb="FF728F9B"/>
      </x:top>
    </x:border>
    <x:border>
      <x:right style="medium">
        <x:color rgb="FF728F9B"/>
      </x:right>
      <x:top style="medium">
        <x:color rgb="FF728F9B"/>
      </x:top>
    </x:border>
    <x:border>
      <x:left style="medium">
        <x:color rgb="FF728F9B"/>
      </x:left>
    </x:border>
    <x:border>
      <x:right style="medium">
        <x:color rgb="FF728F9B"/>
      </x:right>
    </x:border>
    <x:border>
      <x:left style="medium">
        <x:color rgb="FF728F9B"/>
      </x:left>
      <x:bottom style="medium">
        <x:color rgb="FF728F9B"/>
      </x:bottom>
    </x:border>
    <x:border>
      <x:bottom style="medium">
        <x:color rgb="FF728F9B"/>
      </x:bottom>
    </x:border>
    <x:border>
      <x:right style="medium">
        <x:color rgb="FF728F9B"/>
      </x:right>
      <x:bottom style="medium">
        <x:color rgb="FF728F9B"/>
      </x:bottom>
    </x:border>
  </x:borders>
  <x:cellStyleXfs count="1">
    <x:xf numFmtId="0" fontId="0" fillId="0" borderId="0"/>
  </x:cellStyleXfs>
  <x:cellXfs count="1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 applyAlignment="1">
      <x:alignment vertical="center" wrapText="1"/>
    </x:xf>
    <x:xf numFmtId="0" fontId="1" fillId="2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8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5" fillId="3" borderId="9" xfId="0" applyNumberFormat="1" applyFont="1" applyFill="1" applyBorder="1"/>
    <x:xf numFmtId="0" fontId="6" fillId="0" borderId="9" xfId="0" applyNumberFormat="1" applyFont="1" applyFill="1" applyBorder="1"/>
    <x:xf numFmtId="0" fontId="5" fillId="3" borderId="9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10" xfId="0" applyNumberFormat="1" applyFont="1" applyFill="1" applyBorder="1"/>
    <x:xf numFmtId="0" fontId="7" fillId="4" borderId="10" xfId="0" applyNumberFormat="1" applyFont="1" applyFill="1" applyBorder="1" applyAlignment="1">
      <x:alignment wrapText="1"/>
    </x:xf>
    <x:xf numFmtId="0" fontId="7" fillId="4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13" xfId="0" applyNumberFormat="1" applyFont="1" applyFill="1" applyBorder="1"/>
    <x:xf numFmtId="0" fontId="8" fillId="5" borderId="14" xfId="0" applyNumberFormat="1" applyFont="1" applyFill="1" applyBorder="1"/>
    <x:xf numFmtId="0" fontId="8" fillId="5" borderId="15" xfId="0" applyNumberFormat="1" applyFont="1" applyFill="1" applyBorder="1"/>
    <x:xf numFmtId="0" fontId="8" fillId="5" borderId="16" xfId="0" applyNumberFormat="1" applyFont="1" applyFill="1" applyBorder="1"/>
    <x:xf numFmtId="0" fontId="8" fillId="5" borderId="17" xfId="0" applyNumberFormat="1" applyFont="1" applyFill="1" applyBorder="1"/>
    <x:xf numFmtId="0" fontId="8" fillId="5" borderId="18" xfId="0" applyNumberFormat="1" applyFont="1" applyFill="1" applyBorder="1"/>
    <x:xf numFmtId="0" fontId="8" fillId="5" borderId="11" xfId="0" applyNumberFormat="1" applyFont="1" applyFill="1" applyBorder="1" applyAlignment="1">
      <x:alignment wrapText="1"/>
    </x:xf>
    <x:xf numFmtId="0" fontId="8" fillId="5" borderId="12" xfId="0" applyNumberFormat="1" applyFont="1" applyFill="1" applyBorder="1" applyAlignment="1">
      <x:alignment wrapText="1"/>
    </x:xf>
    <x:xf numFmtId="0" fontId="8" fillId="5" borderId="13" xfId="0" applyNumberFormat="1" applyFont="1" applyFill="1" applyBorder="1" applyAlignment="1">
      <x:alignment wrapText="1"/>
    </x:xf>
    <x:xf numFmtId="0" fontId="8" fillId="5" borderId="14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wrapText="1"/>
    </x:xf>
    <x:xf numFmtId="0" fontId="8" fillId="5" borderId="15" xfId="0" applyNumberFormat="1" applyFont="1" applyFill="1" applyBorder="1" applyAlignment="1">
      <x:alignment wrapText="1"/>
    </x:xf>
    <x:xf numFmtId="0" fontId="8" fillId="5" borderId="16" xfId="0" applyNumberFormat="1" applyFont="1" applyFill="1" applyBorder="1" applyAlignment="1">
      <x:alignment wrapText="1"/>
    </x:xf>
    <x:xf numFmtId="0" fontId="8" fillId="5" borderId="17" xfId="0" applyNumberFormat="1" applyFont="1" applyFill="1" applyBorder="1" applyAlignment="1">
      <x:alignment wrapText="1"/>
    </x:xf>
    <x:xf numFmtId="0" fontId="8" fillId="5" borderId="18" xfId="0" applyNumberFormat="1" applyFont="1" applyFill="1" applyBorder="1" applyAlignment="1">
      <x:alignment wrapText="1"/>
    </x:xf>
    <x:xf numFmtId="0" fontId="8" fillId="5" borderId="11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8" fillId="5" borderId="13" xfId="0" applyNumberFormat="1" applyFont="1" applyFill="1" applyBorder="1" applyAlignment="1">
      <x:alignment vertical="center" wrapText="1"/>
    </x:xf>
    <x:xf numFmtId="0" fontId="8" fillId="5" borderId="14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15" xfId="0" applyNumberFormat="1" applyFont="1" applyFill="1" applyBorder="1" applyAlignment="1">
      <x:alignment vertical="center" wrapText="1"/>
    </x:xf>
    <x:xf numFmtId="0" fontId="8" fillId="5" borderId="16" xfId="0" applyNumberFormat="1" applyFont="1" applyFill="1" applyBorder="1" applyAlignment="1">
      <x:alignment vertical="center" wrapText="1"/>
    </x:xf>
    <x:xf numFmtId="0" fontId="8" fillId="5" borderId="17" xfId="0" applyNumberFormat="1" applyFont="1" applyFill="1" applyBorder="1" applyAlignment="1">
      <x:alignment vertical="center" wrapText="1"/>
    </x:xf>
    <x:xf numFmtId="0" fontId="8" fillId="5" borderId="18" xfId="0" applyNumberFormat="1" applyFont="1" applyFill="1" applyBorder="1" applyAlignment="1">
      <x:alignment vertical="center" wrapText="1"/>
    </x:xf>
    <x:xf numFmtId="0" fontId="9" fillId="0" borderId="9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200" fontId="9" fillId="0" borderId="9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1" fontId="9" fillId="0" borderId="9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201" fontId="6" fillId="0" borderId="9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0" fontId="11" fillId="6" borderId="9" xfId="0" applyNumberFormat="1" applyFont="1" applyFill="1" applyBorder="1" applyAlignment="1">
      <x:alignment vertical="top" wrapText="1"/>
    </x:xf>
    <x:xf numFmtId="0" fontId="6" fillId="7" borderId="9" xfId="0" applyNumberFormat="1" applyFont="1" applyFill="1" applyBorder="1" applyAlignment="1">
      <x:alignment vertical="top" wrapText="1"/>
    </x:xf>
    <x:xf numFmtId="0" fontId="12" fillId="7" borderId="9" xfId="0" applyNumberFormat="1" applyFont="1" applyFill="1" applyBorder="1" applyAlignment="1">
      <x:alignment vertical="top" wrapText="1"/>
    </x:xf>
    <x:xf numFmtId="0" fontId="13" fillId="5" borderId="0" xfId="0" applyNumberFormat="1" applyFont="1" applyFill="1" applyBorder="1"/>
    <x:xf numFmtId="0" fontId="13" fillId="5" borderId="11" xfId="0" applyNumberFormat="1" applyFont="1" applyFill="1" applyBorder="1"/>
    <x:xf numFmtId="0" fontId="13" fillId="5" borderId="12" xfId="0" applyNumberFormat="1" applyFont="1" applyFill="1" applyBorder="1"/>
    <x:xf numFmtId="0" fontId="13" fillId="5" borderId="13" xfId="0" applyNumberFormat="1" applyFont="1" applyFill="1" applyBorder="1"/>
    <x:xf numFmtId="0" fontId="13" fillId="5" borderId="14" xfId="0" applyNumberFormat="1" applyFont="1" applyFill="1" applyBorder="1"/>
    <x:xf numFmtId="0" fontId="13" fillId="5" borderId="15" xfId="0" applyNumberFormat="1" applyFont="1" applyFill="1" applyBorder="1"/>
    <x:xf numFmtId="0" fontId="13" fillId="5" borderId="16" xfId="0" applyNumberFormat="1" applyFont="1" applyFill="1" applyBorder="1"/>
    <x:xf numFmtId="0" fontId="13" fillId="5" borderId="17" xfId="0" applyNumberFormat="1" applyFont="1" applyFill="1" applyBorder="1"/>
    <x:xf numFmtId="0" fontId="13" fillId="5" borderId="18" xfId="0" applyNumberFormat="1" applyFont="1" applyFill="1" applyBorder="1"/>
    <x:xf numFmtId="0" fontId="13" fillId="5" borderId="11" xfId="0" applyNumberFormat="1" applyFont="1" applyFill="1" applyBorder="1" applyAlignment="1">
      <x:alignment wrapText="1"/>
    </x:xf>
    <x:xf numFmtId="0" fontId="13" fillId="5" borderId="12" xfId="0" applyNumberFormat="1" applyFont="1" applyFill="1" applyBorder="1" applyAlignment="1">
      <x:alignment wrapText="1"/>
    </x:xf>
    <x:xf numFmtId="0" fontId="13" fillId="5" borderId="13" xfId="0" applyNumberFormat="1" applyFont="1" applyFill="1" applyBorder="1" applyAlignment="1">
      <x:alignment wrapText="1"/>
    </x:xf>
    <x:xf numFmtId="0" fontId="13" fillId="5" borderId="14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wrapText="1"/>
    </x:xf>
    <x:xf numFmtId="0" fontId="13" fillId="5" borderId="15" xfId="0" applyNumberFormat="1" applyFont="1" applyFill="1" applyBorder="1" applyAlignment="1">
      <x:alignment wrapText="1"/>
    </x:xf>
    <x:xf numFmtId="0" fontId="13" fillId="5" borderId="16" xfId="0" applyNumberFormat="1" applyFont="1" applyFill="1" applyBorder="1" applyAlignment="1">
      <x:alignment wrapText="1"/>
    </x:xf>
    <x:xf numFmtId="0" fontId="13" fillId="5" borderId="17" xfId="0" applyNumberFormat="1" applyFont="1" applyFill="1" applyBorder="1" applyAlignment="1">
      <x:alignment wrapText="1"/>
    </x:xf>
    <x:xf numFmtId="0" fontId="13" fillId="5" borderId="18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vertical="center" wrapText="1"/>
    </x:xf>
    <x:xf numFmtId="0" fontId="13" fillId="5" borderId="12" xfId="0" applyNumberFormat="1" applyFont="1" applyFill="1" applyBorder="1" applyAlignment="1">
      <x:alignment vertical="center" wrapText="1"/>
    </x:xf>
    <x:xf numFmtId="0" fontId="13" fillId="5" borderId="13" xfId="0" applyNumberFormat="1" applyFont="1" applyFill="1" applyBorder="1" applyAlignment="1">
      <x:alignment vertical="center" wrapText="1"/>
    </x:xf>
    <x:xf numFmtId="0" fontId="13" fillId="5" borderId="14" xfId="0" applyNumberFormat="1" applyFont="1" applyFill="1" applyBorder="1" applyAlignment="1">
      <x:alignment vertical="center" wrapText="1"/>
    </x:xf>
    <x:xf numFmtId="0" fontId="13" fillId="5" borderId="0" xfId="0" applyNumberFormat="1" applyFont="1" applyFill="1" applyBorder="1" applyAlignment="1">
      <x:alignment vertical="center" wrapText="1"/>
    </x:xf>
    <x:xf numFmtId="0" fontId="13" fillId="5" borderId="15" xfId="0" applyNumberFormat="1" applyFont="1" applyFill="1" applyBorder="1" applyAlignment="1">
      <x:alignment vertical="center" wrapText="1"/>
    </x:xf>
    <x:xf numFmtId="0" fontId="13" fillId="5" borderId="16" xfId="0" applyNumberFormat="1" applyFont="1" applyFill="1" applyBorder="1" applyAlignment="1">
      <x:alignment vertical="center" wrapText="1"/>
    </x:xf>
    <x:xf numFmtId="0" fontId="13" fillId="5" borderId="17" xfId="0" applyNumberFormat="1" applyFont="1" applyFill="1" applyBorder="1" applyAlignment="1">
      <x:alignment vertical="center" wrapText="1"/>
    </x:xf>
    <x:xf numFmtId="0" fontId="13" fillId="5" borderId="18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245B33"/>
      </x:font>
      <x:fill>
        <x:patternFill patternType="solid">
          <x:bgColor rgb="FFDCE9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29b5e4720f45cc" /><Relationship Type="http://schemas.openxmlformats.org/officeDocument/2006/relationships/theme" Target="/xl/theme/theme1.xml" Id="Rc56e1fd686a14db2" /><Relationship Type="http://schemas.openxmlformats.org/officeDocument/2006/relationships/sharedStrings" Target="/xl/sharedStrings.xml" Id="R67020ff6d7fc4708" /><Relationship Type="http://schemas.openxmlformats.org/officeDocument/2006/relationships/worksheet" Target="/xl/worksheets/sheet1.xml" Id="R6f4121d41c4c48de" /><Relationship Type="http://schemas.openxmlformats.org/officeDocument/2006/relationships/worksheet" Target="/xl/worksheets/sheet2.xml" Id="Rf313e10918154eaf" /><Relationship Type="http://schemas.openxmlformats.org/officeDocument/2006/relationships/worksheet" Target="/xl/worksheets/sheet3.xml" Id="R79bc42ea31144265" /><Relationship Type="http://schemas.openxmlformats.org/officeDocument/2006/relationships/worksheet" Target="/xl/worksheets/sheet4.xml" Id="R263cacf23aa340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42" hidden="0" customWidth="1"/>
    <x:col min="3" max="3" width="5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9" t="str">
        <x:v>Retail Mall Feasibility - Public Model Extract</x:v>
      </x:c>
      <x:c r="B1" s="10"/>
      <x:c r="C1" s="10"/>
      <x:c r="D1" s="10"/>
      <x:c r="E1" s="10"/>
      <x:c r="F1" s="10"/>
      <x:c r="G1" s="10"/>
      <x:c r="H1" s="11"/>
    </x:row>
    <x:row r="2" ht="28" customHeight="1">
      <x:c r="A2" s="12"/>
      <x:c r="B2" s="4"/>
      <x:c r="C2" s="4"/>
      <x:c r="D2" s="4"/>
      <x:c r="E2" s="4"/>
      <x:c r="F2" s="4"/>
      <x:c r="G2" s="4"/>
      <x:c r="H2" s="13"/>
    </x:row>
    <x:row r="3" ht="32" customHeight="1">
      <x:c r="A3" s="14" t="str">
        <x:v>Privacy-safe portfolio evidence. Original group workbook retained privately; this extract removes student identifiers, collaborator metadata and external file paths.</x:v>
      </x:c>
      <x:c r="B3" s="15"/>
      <x:c r="C3" s="15"/>
      <x:c r="D3" s="15"/>
      <x:c r="E3" s="15"/>
      <x:c r="F3" s="15"/>
      <x:c r="G3" s="15"/>
      <x:c r="H3" s="16"/>
    </x:row>
    <x:row r="5">
      <x:c r="A5" s="18" t="str">
        <x:v>PROJECT CONTEXT</x:v>
      </x:c>
      <x:c r="B5" s="18" t="str">
        <x:v>PROJECT CONTEXT</x:v>
      </x:c>
      <x:c r="C5" s="18" t="str">
        <x:v>PROJECT CONTEXT</x:v>
      </x:c>
      <x:c r="D5" s="18" t="str">
        <x:v>PROJECT CONTEXT</x:v>
      </x:c>
      <x:c r="E5" s="18" t="str">
        <x:v>PROJECT CONTEXT</x:v>
      </x:c>
      <x:c r="F5" s="18" t="str">
        <x:v>PROJECT CONTEXT</x:v>
      </x:c>
      <x:c r="G5" s="18" t="str">
        <x:v>PROJECT CONTEXT</x:v>
      </x:c>
      <x:c r="H5" s="18" t="str">
        <x:v>PROJECT CONTEXT</x:v>
      </x:c>
    </x:row>
    <x:row r="6">
      <x:c r="A6" s="26" t="str">
        <x:v>Context</x:v>
      </x:c>
      <x:c r="B6" s="27" t="str">
        <x:v>University group feasibility study</x:v>
      </x:c>
    </x:row>
    <x:row r="7">
      <x:c r="A7" s="26" t="str">
        <x:v>Scenario</x:v>
      </x:c>
      <x:c r="B7" s="27" t="str">
        <x:v>Hypothetical 10,000 sqm Melbourne CBD retail mall</x:v>
      </x:c>
    </x:row>
    <x:row r="8">
      <x:c r="A8" s="26" t="str">
        <x:v>Bowen's contribution</x:v>
      </x:c>
      <x:c r="B8" s="27" t="str">
        <x:v>Model development, scenario analysis, risk synthesis and strategic recommendation</x:v>
      </x:c>
    </x:row>
    <x:row r="9">
      <x:c r="A9" s="26" t="str">
        <x:v>Shared ownership</x:v>
      </x:c>
      <x:c r="B9" s="27" t="str">
        <x:v>Four-person team; modelling, analysis and submission were shared</x:v>
      </x:c>
    </x:row>
    <x:row r="10">
      <x:c r="A10" s="26" t="str">
        <x:v>Public status</x:v>
      </x:c>
      <x:c r="B10" s="27" t="str">
        <x:v>Selected formula evidence only - not the original academic submission</x:v>
      </x:c>
    </x:row>
    <x:row r="12">
      <x:c r="A12" s="18" t="str">
        <x:v>ORIGINAL MODEL MAP</x:v>
      </x:c>
      <x:c r="B12" s="18" t="str">
        <x:v>ORIGINAL MODEL MAP</x:v>
      </x:c>
      <x:c r="C12" s="18" t="str">
        <x:v>ORIGINAL MODEL MAP</x:v>
      </x:c>
      <x:c r="D12" s="18" t="str">
        <x:v>ORIGINAL MODEL MAP</x:v>
      </x:c>
      <x:c r="E12" s="18" t="str">
        <x:v>ORIGINAL MODEL MAP</x:v>
      </x:c>
      <x:c r="F12" s="18" t="str">
        <x:v>ORIGINAL MODEL MAP</x:v>
      </x:c>
      <x:c r="G12" s="18" t="str">
        <x:v>ORIGINAL MODEL MAP</x:v>
      </x:c>
      <x:c r="H12" s="18" t="str">
        <x:v>ORIGINAL MODEL MAP</x:v>
      </x:c>
    </x:row>
    <x:row r="13">
      <x:c r="A13" s="32" t="str">
        <x:v>Module</x:v>
      </x:c>
      <x:c r="B13" s="32" t="str">
        <x:v>Original sheet group</x:v>
      </x:c>
      <x:c r="C13" s="32" t="str">
        <x:v>Purpose</x:v>
      </x:c>
    </x:row>
    <x:row r="14">
      <x:c r="A14" s="27" t="str">
        <x:v>Inputs</x:v>
      </x:c>
      <x:c r="B14" s="27" t="str">
        <x:v>Assumptions</x:v>
      </x:c>
      <x:c r="C14" s="27" t="str">
        <x:v>Centralise capital, tenancy, operating, debt and discount assumptions.</x:v>
      </x:c>
    </x:row>
    <x:row r="15">
      <x:c r="A15" s="27" t="str">
        <x:v>Build</x:v>
      </x:c>
      <x:c r="B15" s="27" t="str">
        <x:v>Construction Cash Flow</x:v>
      </x:c>
      <x:c r="C15" s="27" t="str">
        <x:v>Stage soft costs and construction expenditure across the programme.</x:v>
      </x:c>
    </x:row>
    <x:row r="16">
      <x:c r="A16" s="27" t="str">
        <x:v>Operations</x:v>
      </x:c>
      <x:c r="B16" s="27" t="str">
        <x:v>Revenue / Operating Expense</x:v>
      </x:c>
      <x:c r="C16" s="27" t="str">
        <x:v>Translate occupancy, tenant mix, rent and escalation into operating evidence.</x:v>
      </x:c>
    </x:row>
    <x:row r="17">
      <x:c r="A17" s="27" t="str">
        <x:v>Finance</x:v>
      </x:c>
      <x:c r="B17" s="27" t="str">
        <x:v>Loan Repayment / Projected Financials</x:v>
      </x:c>
      <x:c r="C17" s="27" t="str">
        <x:v>Separate principal, interest, cash flow and discounting.</x:v>
      </x:c>
    </x:row>
    <x:row r="18">
      <x:c r="A18" s="27" t="str">
        <x:v>Decision</x:v>
      </x:c>
      <x:c r="B18" s="27" t="str">
        <x:v>NPV &amp; IRR / Sensitivity</x:v>
      </x:c>
      <x:c r="C18" s="27" t="str">
        <x:v>Test how changing assumptions affects feasibility.</x:v>
      </x:c>
    </x:row>
    <x:row r="19">
      <x:c r="A19" s="27" t="str">
        <x:v>Risk</x:v>
      </x:c>
      <x:c r="B19" s="27" t="str">
        <x:v>Cost Overrun / Construction Risks</x:v>
      </x:c>
      <x:c r="C19" s="27" t="str">
        <x:v>Expose cost, schedule and competition pressures.</x:v>
      </x:c>
    </x:row>
    <x:row r="20">
      <x:c r="A20" s="27" t="str">
        <x:v>Handoff</x:v>
      </x:c>
      <x:c r="B20" s="27" t="str">
        <x:v>Front Door / Back Door / Benchmark</x:v>
      </x:c>
      <x:c r="C20" s="27" t="str">
        <x:v>Frame the recommendation through market and project constraints.</x:v>
      </x:c>
    </x:row>
    <x:row r="22">
      <x:c r="A22" s="52" t="str">
        <x:v>AUDIT BOUNDARY
A later review found unreconciled NPV and IRR outputs across the submitted workbook and report. This public extract therefore does not reproduce a headline return conclusion. It preserves transparent inputs, a partial revenue calculation and a visible audit register.</x:v>
      </x:c>
      <x:c r="B22" s="53"/>
      <x:c r="C22" s="53"/>
      <x:c r="D22" s="53"/>
      <x:c r="E22" s="53"/>
      <x:c r="F22" s="53"/>
      <x:c r="G22" s="53"/>
      <x:c r="H22" s="54"/>
    </x:row>
    <x:row r="23">
      <x:c r="A23" s="55"/>
      <x:c r="B23" s="56"/>
      <x:c r="C23" s="56"/>
      <x:c r="D23" s="56"/>
      <x:c r="E23" s="56"/>
      <x:c r="F23" s="56"/>
      <x:c r="G23" s="56"/>
      <x:c r="H23" s="57"/>
    </x:row>
    <x:row r="24">
      <x:c r="A24" s="58"/>
      <x:c r="B24" s="59"/>
      <x:c r="C24" s="59"/>
      <x:c r="D24" s="59"/>
      <x:c r="E24" s="59"/>
      <x:c r="F24" s="59"/>
      <x:c r="G24" s="59"/>
      <x:c r="H24" s="60"/>
    </x:row>
  </x:sheetData>
  <x:mergeCells>
    <x:mergeCell ref="A1:H2"/>
    <x:mergeCell ref="A3:H3"/>
    <x:mergeCell ref="A5:H5"/>
    <x:mergeCell ref="A12:H12"/>
    <x:mergeCell ref="A22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22" hidden="0" customWidth="1"/>
    <x:col min="4" max="4" width="44" hidden="0" customWidth="1"/>
  </x:cols>
  <x:sheetData>
    <x:row r="1" ht="28" customHeight="1">
      <x:c r="A1" s="9" t="str">
        <x:v>Selected Assumptions</x:v>
      </x:c>
      <x:c r="B1" s="10"/>
      <x:c r="C1" s="10"/>
      <x:c r="D1" s="10"/>
      <x:c r="E1" s="10"/>
      <x:c r="F1" s="10"/>
      <x:c r="G1" s="10"/>
      <x:c r="H1" s="11"/>
    </x:row>
    <x:row r="2" ht="28" customHeight="1">
      <x:c r="A2" s="12"/>
      <x:c r="B2" s="4"/>
      <x:c r="C2" s="4"/>
      <x:c r="D2" s="4"/>
      <x:c r="E2" s="4"/>
      <x:c r="F2" s="4"/>
      <x:c r="G2" s="4"/>
      <x:c r="H2" s="13"/>
    </x:row>
    <x:row r="3" ht="32" customHeight="1">
      <x:c r="A3" s="14" t="str">
        <x:v>Blue values are editable inputs disclosed in the submitted report. Formulas are black. Currency is AUD.</x:v>
      </x:c>
      <x:c r="B3" s="15"/>
      <x:c r="C3" s="15"/>
      <x:c r="D3" s="15"/>
      <x:c r="E3" s="15"/>
      <x:c r="F3" s="15"/>
      <x:c r="G3" s="15"/>
      <x:c r="H3" s="16"/>
    </x:row>
    <x:row r="5">
      <x:c r="A5" s="32" t="str">
        <x:v>Input</x:v>
      </x:c>
      <x:c r="B5" s="32" t="str">
        <x:v>Value</x:v>
      </x:c>
      <x:c r="C5" s="32" t="str">
        <x:v>Unit</x:v>
      </x:c>
      <x:c r="D5" s="32" t="str">
        <x:v>Public-source note</x:v>
      </x:c>
    </x:row>
    <x:row r="6">
      <x:c r="A6" s="27" t="str">
        <x:v>Leasable area</x:v>
      </x:c>
      <x:c r="B6" s="61" t="n">
        <x:v>10000</x:v>
      </x:c>
      <x:c r="C6" s="27" t="str">
        <x:v>sqm</x:v>
      </x:c>
      <x:c r="D6" s="27" t="str">
        <x:v>Submitted project scenario</x:v>
      </x:c>
    </x:row>
    <x:row r="7">
      <x:c r="A7" s="27" t="str">
        <x:v>Anchor tenant share</x:v>
      </x:c>
      <x:c r="B7" s="63" t="n">
        <x:v>0.3</x:v>
      </x:c>
      <x:c r="C7" s="27" t="str">
        <x:v>% of area</x:v>
      </x:c>
      <x:c r="D7" s="27" t="str">
        <x:v>Submitted assumption</x:v>
      </x:c>
    </x:row>
    <x:row r="8">
      <x:c r="A8" s="27" t="str">
        <x:v>Specialty tenant share</x:v>
      </x:c>
      <x:c r="B8" s="64" t="n">
        <x:f>1-B7</x:f>
        <x:v>0.7</x:v>
      </x:c>
      <x:c r="C8" s="27" t="str">
        <x:v>% of area</x:v>
      </x:c>
      <x:c r="D8" s="27" t="str">
        <x:v>Calculated as 1 - anchor share</x:v>
      </x:c>
    </x:row>
    <x:row r="9">
      <x:c r="A9" s="27" t="str">
        <x:v>Anchor rent</x:v>
      </x:c>
      <x:c r="B9" s="65" t="n">
        <x:v>1200</x:v>
      </x:c>
      <x:c r="C9" s="27" t="str">
        <x:v>AUD / sqm / year</x:v>
      </x:c>
      <x:c r="D9" s="27" t="str">
        <x:v>Submitted assumption</x:v>
      </x:c>
    </x:row>
    <x:row r="10">
      <x:c r="A10" s="27" t="str">
        <x:v>Specialty rent</x:v>
      </x:c>
      <x:c r="B10" s="65" t="n">
        <x:v>2500</x:v>
      </x:c>
      <x:c r="C10" s="27" t="str">
        <x:v>AUD / sqm / year</x:v>
      </x:c>
      <x:c r="D10" s="27" t="str">
        <x:v>Submitted assumption</x:v>
      </x:c>
    </x:row>
    <x:row r="11">
      <x:c r="A11" s="27" t="str">
        <x:v>Opening occupancy</x:v>
      </x:c>
      <x:c r="B11" s="63" t="n">
        <x:v>0.8</x:v>
      </x:c>
      <x:c r="C11" s="27" t="str">
        <x:v>%</x:v>
      </x:c>
      <x:c r="D11" s="27" t="str">
        <x:v>Submitted assumption</x:v>
      </x:c>
    </x:row>
    <x:row r="12">
      <x:c r="A12" s="27" t="str">
        <x:v>Maximum occupancy</x:v>
      </x:c>
      <x:c r="B12" s="63" t="n">
        <x:v>0.95</x:v>
      </x:c>
      <x:c r="C12" s="27" t="str">
        <x:v>%</x:v>
      </x:c>
      <x:c r="D12" s="27" t="str">
        <x:v>Submitted assumption</x:v>
      </x:c>
    </x:row>
    <x:row r="13">
      <x:c r="A13" s="27" t="str">
        <x:v>Annual occupancy step</x:v>
      </x:c>
      <x:c r="B13" s="63" t="n">
        <x:v>0.05</x:v>
      </x:c>
      <x:c r="C13" s="27" t="str">
        <x:v>percentage points</x:v>
      </x:c>
      <x:c r="D13" s="27" t="str">
        <x:v>Submitted assumption</x:v>
      </x:c>
    </x:row>
    <x:row r="14">
      <x:c r="A14" s="27" t="str">
        <x:v>Annual rent escalation</x:v>
      </x:c>
      <x:c r="B14" s="63" t="n">
        <x:v>0.025</x:v>
      </x:c>
      <x:c r="C14" s="27" t="str">
        <x:v>%</x:v>
      </x:c>
      <x:c r="D14" s="27" t="str">
        <x:v>Submitted assumption</x:v>
      </x:c>
    </x:row>
    <x:row r="15">
      <x:c r="A15" s="27" t="str">
        <x:v>Ancillary income share</x:v>
      </x:c>
      <x:c r="B15" s="63" t="n">
        <x:v>0.1</x:v>
      </x:c>
      <x:c r="C15" s="27" t="str">
        <x:v>% of rent</x:v>
      </x:c>
      <x:c r="D15" s="27" t="str">
        <x:v>Submitted assumption</x:v>
      </x:c>
    </x:row>
    <x:row r="16">
      <x:c r="A16" s="27" t="str">
        <x:v>Opening operating expense</x:v>
      </x:c>
      <x:c r="B16" s="65" t="n">
        <x:v>1200000</x:v>
      </x:c>
      <x:c r="C16" s="27" t="str">
        <x:v>AUD / year</x:v>
      </x:c>
      <x:c r="D16" s="27" t="str">
        <x:v>Submitted assumption</x:v>
      </x:c>
    </x:row>
    <x:row r="17">
      <x:c r="A17" s="27" t="str">
        <x:v>Land cost</x:v>
      </x:c>
      <x:c r="B17" s="65" t="n">
        <x:v>5000000</x:v>
      </x:c>
      <x:c r="C17" s="27" t="str">
        <x:v>AUD</x:v>
      </x:c>
      <x:c r="D17" s="27" t="str">
        <x:v>Submitted assumption</x:v>
      </x:c>
    </x:row>
    <x:row r="18">
      <x:c r="A18" s="27" t="str">
        <x:v>Construction cost</x:v>
      </x:c>
      <x:c r="B18" s="65" t="n">
        <x:v>15000000</x:v>
      </x:c>
      <x:c r="C18" s="27" t="str">
        <x:v>AUD</x:v>
      </x:c>
      <x:c r="D18" s="27" t="str">
        <x:v>Submitted assumption</x:v>
      </x:c>
    </x:row>
    <x:row r="19">
      <x:c r="A19" s="27" t="str">
        <x:v>Design / legal / marketing</x:v>
      </x:c>
      <x:c r="B19" s="65" t="n">
        <x:v>2000000</x:v>
      </x:c>
      <x:c r="C19" s="27" t="str">
        <x:v>AUD</x:v>
      </x:c>
      <x:c r="D19" s="27" t="str">
        <x:v>Submitted assumption</x:v>
      </x:c>
    </x:row>
    <x:row r="20">
      <x:c r="A20" s="27" t="str">
        <x:v>Total initial capital</x:v>
      </x:c>
      <x:c r="B20" s="66" t="n">
        <x:f>SUM(B17:B19)</x:f>
        <x:v>22000000</x:v>
      </x:c>
      <x:c r="C20" s="27" t="str">
        <x:v>AUD</x:v>
      </x:c>
      <x:c r="D20" s="27" t="str">
        <x:v>Calculated from the three components above</x:v>
      </x:c>
    </x:row>
    <x:row r="22">
      <x:c r="A22" s="69" t="str">
        <x:v>Scope note: these assumptions support the public revenue extract. They do not by themselves establish project feasibility or validate the original NPV / IRR outputs.</x:v>
      </x:c>
      <x:c r="B22" s="69"/>
      <x:c r="C22" s="69"/>
      <x:c r="D22" s="69"/>
    </x:row>
    <x:row r="23">
      <x:c r="A23" s="69"/>
      <x:c r="B23" s="69"/>
      <x:c r="C23" s="69"/>
      <x:c r="D23" s="69"/>
    </x:row>
    <x:row r="24">
      <x:c r="A24" s="69"/>
      <x:c r="B24" s="69"/>
      <x:c r="C24" s="69"/>
      <x:c r="D24" s="69"/>
    </x:row>
  </x:sheetData>
  <x:mergeCells>
    <x:mergeCell ref="A1:H2"/>
    <x:mergeCell ref="A3:H3"/>
    <x:mergeCell ref="A22:D2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8" customHeight="1">
      <x:c r="A1" s="9" t="str">
        <x:v>Illustrative Revenue Extract</x:v>
      </x:c>
      <x:c r="B1" s="10"/>
      <x:c r="C1" s="10"/>
      <x:c r="D1" s="10"/>
      <x:c r="E1" s="10"/>
      <x:c r="F1" s="10"/>
      <x:c r="G1" s="10"/>
      <x:c r="H1" s="11"/>
    </x:row>
    <x:row r="2" ht="28" customHeight="1">
      <x:c r="A2" s="12"/>
      <x:c r="B2" s="4"/>
      <x:c r="C2" s="4"/>
      <x:c r="D2" s="4"/>
      <x:c r="E2" s="4"/>
      <x:c r="F2" s="4"/>
      <x:c r="G2" s="4"/>
      <x:c r="H2" s="13"/>
    </x:row>
    <x:row r="3" ht="32" customHeight="1">
      <x:c r="A3" s="14" t="str">
        <x:v>Formula-driven partial calculation. It demonstrates the submitted operating logic but excludes debt, tax, capital timing and terminal value.</x:v>
      </x:c>
      <x:c r="B3" s="15"/>
      <x:c r="C3" s="15"/>
      <x:c r="D3" s="15"/>
      <x:c r="E3" s="15"/>
      <x:c r="F3" s="15"/>
      <x:c r="G3" s="15"/>
      <x:c r="H3" s="16"/>
    </x:row>
    <x:row r="5">
      <x:c r="A5" s="32" t="str">
        <x:v>Year</x:v>
      </x:c>
      <x:c r="B5" s="32" t="str">
        <x:v>Occupancy</x:v>
      </x:c>
      <x:c r="C5" s="32" t="str">
        <x:v>Anchor rent</x:v>
      </x:c>
      <x:c r="D5" s="32" t="str">
        <x:v>Specialty rent</x:v>
      </x:c>
      <x:c r="E5" s="32" t="str">
        <x:v>Anchor income</x:v>
      </x:c>
      <x:c r="F5" s="32" t="str">
        <x:v>Specialty income</x:v>
      </x:c>
      <x:c r="G5" s="32" t="str">
        <x:v>Ancillary</x:v>
      </x:c>
      <x:c r="H5" s="32" t="str">
        <x:v>Gross income</x:v>
      </x:c>
      <x:c r="I5" s="32" t="str">
        <x:v>Operating expense</x:v>
      </x:c>
      <x:c r="J5" s="32" t="str">
        <x:v>Illustrative NOI</x:v>
      </x:c>
    </x:row>
    <x:row r="6">
      <x:c r="A6" s="27" t="n">
        <x:v>2027</x:v>
      </x:c>
      <x:c r="B6" s="64" t="n">
        <x:f>MIN('Assumptions'!$B$11+(A6-$A$6)*'Assumptions'!$B$13,'Assumptions'!$B$12)</x:f>
        <x:v>0.8</x:v>
      </x:c>
      <x:c r="C6" s="70" t="n">
        <x:f>'Assumptions'!$B$9*(1+'Assumptions'!$B$14)^(A6-$A$6)</x:f>
        <x:v>1200</x:v>
      </x:c>
      <x:c r="D6" s="70" t="n">
        <x:f>'Assumptions'!$B$10*(1+'Assumptions'!$B$14)^(A6-$A$6)</x:f>
        <x:v>2500</x:v>
      </x:c>
      <x:c r="E6" s="70" t="n">
        <x:f>'Assumptions'!$B$6*'Assumptions'!$B$7*B6*C6</x:f>
        <x:v>2880000</x:v>
      </x:c>
      <x:c r="F6" s="70" t="n">
        <x:f>'Assumptions'!$B$6*'Assumptions'!$B$8*B6*D6</x:f>
        <x:v>14000000</x:v>
      </x:c>
      <x:c r="G6" s="70" t="n">
        <x:f>(E6+F6)*'Assumptions'!$B$15</x:f>
        <x:v>1688000</x:v>
      </x:c>
      <x:c r="H6" s="70" t="n">
        <x:f>SUM(E6:G6)</x:f>
        <x:v>18568000</x:v>
      </x:c>
      <x:c r="I6" s="70" t="n">
        <x:f>'Assumptions'!$B$16*(1+'Assumptions'!$B$14)^(A6-$A$6)</x:f>
        <x:v>1200000</x:v>
      </x:c>
      <x:c r="J6" s="70" t="n">
        <x:f>H6-I6</x:f>
        <x:v>17368000</x:v>
      </x:c>
    </x:row>
    <x:row r="7">
      <x:c r="A7" s="27" t="n">
        <x:v>2028</x:v>
      </x:c>
      <x:c r="B7" s="64" t="n">
        <x:f>MIN('Assumptions'!$B$11+(A7-$A$6)*'Assumptions'!$B$13,'Assumptions'!$B$12)</x:f>
        <x:v>0.8500000000000001</x:v>
      </x:c>
      <x:c r="C7" s="70" t="n">
        <x:f>'Assumptions'!$B$9*(1+'Assumptions'!$B$14)^(A7-$A$6)</x:f>
        <x:v>1230</x:v>
      </x:c>
      <x:c r="D7" s="70" t="n">
        <x:f>'Assumptions'!$B$10*(1+'Assumptions'!$B$14)^(A7-$A$6)</x:f>
        <x:v>2562.5</x:v>
      </x:c>
      <x:c r="E7" s="70" t="n">
        <x:f>'Assumptions'!$B$6*'Assumptions'!$B$7*B7*C7</x:f>
        <x:v>3136500.0000000005</x:v>
      </x:c>
      <x:c r="F7" s="70" t="n">
        <x:f>'Assumptions'!$B$6*'Assumptions'!$B$8*B7*D7</x:f>
        <x:v>15246875.000000002</x:v>
      </x:c>
      <x:c r="G7" s="70" t="n">
        <x:f>(E7+F7)*'Assumptions'!$B$15</x:f>
        <x:v>1838337.5000000005</x:v>
      </x:c>
      <x:c r="H7" s="70" t="n">
        <x:f>SUM(E7:G7)</x:f>
        <x:v>20221712.500000004</x:v>
      </x:c>
      <x:c r="I7" s="70" t="n">
        <x:f>'Assumptions'!$B$16*(1+'Assumptions'!$B$14)^(A7-$A$6)</x:f>
        <x:v>1230000</x:v>
      </x:c>
      <x:c r="J7" s="70" t="n">
        <x:f>H7-I7</x:f>
        <x:v>18991712.500000004</x:v>
      </x:c>
    </x:row>
    <x:row r="8">
      <x:c r="A8" s="27" t="n">
        <x:v>2029</x:v>
      </x:c>
      <x:c r="B8" s="64" t="n">
        <x:f>MIN('Assumptions'!$B$11+(A8-$A$6)*'Assumptions'!$B$13,'Assumptions'!$B$12)</x:f>
        <x:v>0.9</x:v>
      </x:c>
      <x:c r="C8" s="70" t="n">
        <x:f>'Assumptions'!$B$9*(1+'Assumptions'!$B$14)^(A8-$A$6)</x:f>
        <x:v>1260.75</x:v>
      </x:c>
      <x:c r="D8" s="70" t="n">
        <x:f>'Assumptions'!$B$10*(1+'Assumptions'!$B$14)^(A8-$A$6)</x:f>
        <x:v>2626.5625</x:v>
      </x:c>
      <x:c r="E8" s="70" t="n">
        <x:f>'Assumptions'!$B$6*'Assumptions'!$B$7*B8*C8</x:f>
        <x:v>3404025</x:v>
      </x:c>
      <x:c r="F8" s="70" t="n">
        <x:f>'Assumptions'!$B$6*'Assumptions'!$B$8*B8*D8</x:f>
        <x:v>16547343.75</x:v>
      </x:c>
      <x:c r="G8" s="70" t="n">
        <x:f>(E8+F8)*'Assumptions'!$B$15</x:f>
        <x:v>1995136.875</x:v>
      </x:c>
      <x:c r="H8" s="70" t="n">
        <x:f>SUM(E8:G8)</x:f>
        <x:v>21946505.625</x:v>
      </x:c>
      <x:c r="I8" s="70" t="n">
        <x:f>'Assumptions'!$B$16*(1+'Assumptions'!$B$14)^(A8-$A$6)</x:f>
        <x:v>1260750</x:v>
      </x:c>
      <x:c r="J8" s="70" t="n">
        <x:f>H8-I8</x:f>
        <x:v>20685755.625</x:v>
      </x:c>
    </x:row>
    <x:row r="9">
      <x:c r="A9" s="27" t="n">
        <x:v>2030</x:v>
      </x:c>
      <x:c r="B9" s="64" t="n">
        <x:f>MIN('Assumptions'!$B$11+(A9-$A$6)*'Assumptions'!$B$13,'Assumptions'!$B$12)</x:f>
        <x:v>0.95</x:v>
      </x:c>
      <x:c r="C9" s="70" t="n">
        <x:f>'Assumptions'!$B$9*(1+'Assumptions'!$B$14)^(A9-$A$6)</x:f>
        <x:v>1292.2687499999995</x:v>
      </x:c>
      <x:c r="D9" s="70" t="n">
        <x:f>'Assumptions'!$B$10*(1+'Assumptions'!$B$14)^(A9-$A$6)</x:f>
        <x:v>2692.226562499999</x:v>
      </x:c>
      <x:c r="E9" s="70" t="n">
        <x:f>'Assumptions'!$B$6*'Assumptions'!$B$7*B9*C9</x:f>
        <x:v>3682965.9374999986</x:v>
      </x:c>
      <x:c r="F9" s="70" t="n">
        <x:f>'Assumptions'!$B$6*'Assumptions'!$B$8*B9*D9</x:f>
        <x:v>17903306.640624993</x:v>
      </x:c>
      <x:c r="G9" s="70" t="n">
        <x:f>(E9+F9)*'Assumptions'!$B$15</x:f>
        <x:v>2158627.2578124995</x:v>
      </x:c>
      <x:c r="H9" s="70" t="n">
        <x:f>SUM(E9:G9)</x:f>
        <x:v>23744899.835937493</x:v>
      </x:c>
      <x:c r="I9" s="70" t="n">
        <x:f>'Assumptions'!$B$16*(1+'Assumptions'!$B$14)^(A9-$A$6)</x:f>
        <x:v>1292268.7499999995</x:v>
      </x:c>
      <x:c r="J9" s="70" t="n">
        <x:f>H9-I9</x:f>
        <x:v>22452631.085937493</x:v>
      </x:c>
    </x:row>
    <x:row r="10">
      <x:c r="A10" s="27" t="n">
        <x:v>2031</x:v>
      </x:c>
      <x:c r="B10" s="64" t="n">
        <x:f>MIN('Assumptions'!$B$11+(A10-$A$6)*'Assumptions'!$B$13,'Assumptions'!$B$12)</x:f>
        <x:v>0.95</x:v>
      </x:c>
      <x:c r="C10" s="70" t="n">
        <x:f>'Assumptions'!$B$9*(1+'Assumptions'!$B$14)^(A10-$A$6)</x:f>
        <x:v>1324.5754687499993</x:v>
      </x:c>
      <x:c r="D10" s="70" t="n">
        <x:f>'Assumptions'!$B$10*(1+'Assumptions'!$B$14)^(A10-$A$6)</x:f>
        <x:v>2759.5322265624986</x:v>
      </x:c>
      <x:c r="E10" s="70" t="n">
        <x:f>'Assumptions'!$B$6*'Assumptions'!$B$7*B10*C10</x:f>
        <x:v>3775040.085937498</x:v>
      </x:c>
      <x:c r="F10" s="70" t="n">
        <x:f>'Assumptions'!$B$6*'Assumptions'!$B$8*B10*D10</x:f>
        <x:v>18350889.306640618</x:v>
      </x:c>
      <x:c r="G10" s="70" t="n">
        <x:f>(E10+F10)*'Assumptions'!$B$15</x:f>
        <x:v>2212592.9392578118</x:v>
      </x:c>
      <x:c r="H10" s="70" t="n">
        <x:f>SUM(E10:G10)</x:f>
        <x:v>24338522.33183593</x:v>
      </x:c>
      <x:c r="I10" s="70" t="n">
        <x:f>'Assumptions'!$B$16*(1+'Assumptions'!$B$14)^(A10-$A$6)</x:f>
        <x:v>1324575.4687499995</x:v>
      </x:c>
      <x:c r="J10" s="70" t="n">
        <x:f>H10-I10</x:f>
        <x:v>23013946.86308593</x:v>
      </x:c>
    </x:row>
    <x:row r="11">
      <x:c r="A11" s="27" t="n">
        <x:v>2032</x:v>
      </x:c>
      <x:c r="B11" s="64" t="n">
        <x:f>MIN('Assumptions'!$B$11+(A11-$A$6)*'Assumptions'!$B$13,'Assumptions'!$B$12)</x:f>
        <x:v>0.95</x:v>
      </x:c>
      <x:c r="C11" s="70" t="n">
        <x:f>'Assumptions'!$B$9*(1+'Assumptions'!$B$14)^(A11-$A$6)</x:f>
        <x:v>1357.6898554687493</x:v>
      </x:c>
      <x:c r="D11" s="70" t="n">
        <x:f>'Assumptions'!$B$10*(1+'Assumptions'!$B$14)^(A11-$A$6)</x:f>
        <x:v>2828.520532226561</x:v>
      </x:c>
      <x:c r="E11" s="70" t="n">
        <x:f>'Assumptions'!$B$6*'Assumptions'!$B$7*B11*C11</x:f>
        <x:v>3869416.0880859355</x:v>
      </x:c>
      <x:c r="F11" s="70" t="n">
        <x:f>'Assumptions'!$B$6*'Assumptions'!$B$8*B11*D11</x:f>
        <x:v>18809661.53930663</x:v>
      </x:c>
      <x:c r="G11" s="70" t="n">
        <x:f>(E11+F11)*'Assumptions'!$B$15</x:f>
        <x:v>2267907.7627392565</x:v>
      </x:c>
      <x:c r="H11" s="70" t="n">
        <x:f>SUM(E11:G11)</x:f>
        <x:v>24946985.39013182</x:v>
      </x:c>
      <x:c r="I11" s="70" t="n">
        <x:f>'Assumptions'!$B$16*(1+'Assumptions'!$B$14)^(A11-$A$6)</x:f>
        <x:v>1357689.8554687493</x:v>
      </x:c>
      <x:c r="J11" s="70" t="n">
        <x:f>H11-I11</x:f>
        <x:v>23589295.53466307</x:v>
      </x:c>
    </x:row>
    <x:row r="12">
      <x:c r="A12" s="27" t="n">
        <x:v>2033</x:v>
      </x:c>
      <x:c r="B12" s="64" t="n">
        <x:f>MIN('Assumptions'!$B$11+(A12-$A$6)*'Assumptions'!$B$13,'Assumptions'!$B$12)</x:f>
        <x:v>0.95</x:v>
      </x:c>
      <x:c r="C12" s="70" t="n">
        <x:f>'Assumptions'!$B$9*(1+'Assumptions'!$B$14)^(A12-$A$6)</x:f>
        <x:v>1391.632101855468</x:v>
      </x:c>
      <x:c r="D12" s="70" t="n">
        <x:f>'Assumptions'!$B$10*(1+'Assumptions'!$B$14)^(A12-$A$6)</x:f>
        <x:v>2899.233545532225</x:v>
      </x:c>
      <x:c r="E12" s="70" t="n">
        <x:f>'Assumptions'!$B$6*'Assumptions'!$B$7*B12*C12</x:f>
        <x:v>3966151.4902880834</x:v>
      </x:c>
      <x:c r="F12" s="70" t="n">
        <x:f>'Assumptions'!$B$6*'Assumptions'!$B$8*B12*D12</x:f>
        <x:v>19279903.077789295</x:v>
      </x:c>
      <x:c r="G12" s="70" t="n">
        <x:f>(E12+F12)*'Assumptions'!$B$15</x:f>
        <x:v>2324605.4568077377</x:v>
      </x:c>
      <x:c r="H12" s="70" t="n">
        <x:f>SUM(E12:G12)</x:f>
        <x:v>25570660.024885114</x:v>
      </x:c>
      <x:c r="I12" s="70" t="n">
        <x:f>'Assumptions'!$B$16*(1+'Assumptions'!$B$14)^(A12-$A$6)</x:f>
        <x:v>1391632.101855468</x:v>
      </x:c>
      <x:c r="J12" s="70" t="n">
        <x:f>H12-I12</x:f>
        <x:v>24179027.923029646</x:v>
      </x:c>
    </x:row>
    <x:row r="13">
      <x:c r="A13" s="27" t="n">
        <x:v>2034</x:v>
      </x:c>
      <x:c r="B13" s="64" t="n">
        <x:f>MIN('Assumptions'!$B$11+(A13-$A$6)*'Assumptions'!$B$13,'Assumptions'!$B$12)</x:f>
        <x:v>0.95</x:v>
      </x:c>
      <x:c r="C13" s="70" t="n">
        <x:f>'Assumptions'!$B$9*(1+'Assumptions'!$B$14)^(A13-$A$6)</x:f>
        <x:v>1426.4229044018548</x:v>
      </x:c>
      <x:c r="D13" s="70" t="n">
        <x:f>'Assumptions'!$B$10*(1+'Assumptions'!$B$14)^(A13-$A$6)</x:f>
        <x:v>2971.7143841705306</x:v>
      </x:c>
      <x:c r="E13" s="70" t="n">
        <x:f>'Assumptions'!$B$6*'Assumptions'!$B$7*B13*C13</x:f>
        <x:v>4065305.2775452863</x:v>
      </x:c>
      <x:c r="F13" s="70" t="n">
        <x:f>'Assumptions'!$B$6*'Assumptions'!$B$8*B13*D13</x:f>
        <x:v>19761900.654734027</x:v>
      </x:c>
      <x:c r="G13" s="70" t="n">
        <x:f>(E13+F13)*'Assumptions'!$B$15</x:f>
        <x:v>2382720.5932279313</x:v>
      </x:c>
      <x:c r="H13" s="70" t="n">
        <x:f>SUM(E13:G13)</x:f>
        <x:v>26209926.52550724</x:v>
      </x:c>
      <x:c r="I13" s="70" t="n">
        <x:f>'Assumptions'!$B$16*(1+'Assumptions'!$B$14)^(A13-$A$6)</x:f>
        <x:v>1426422.9044018548</x:v>
      </x:c>
      <x:c r="J13" s="70" t="n">
        <x:f>H13-I13</x:f>
        <x:v>24783503.621105388</x:v>
      </x:c>
    </x:row>
    <x:row r="14">
      <x:c r="A14" s="27" t="n">
        <x:v>2035</x:v>
      </x:c>
      <x:c r="B14" s="64" t="n">
        <x:f>MIN('Assumptions'!$B$11+(A14-$A$6)*'Assumptions'!$B$13,'Assumptions'!$B$12)</x:f>
        <x:v>0.95</x:v>
      </x:c>
      <x:c r="C14" s="70" t="n">
        <x:f>'Assumptions'!$B$9*(1+'Assumptions'!$B$14)^(A14-$A$6)</x:f>
        <x:v>1462.0834770119006</x:v>
      </x:c>
      <x:c r="D14" s="70" t="n">
        <x:f>'Assumptions'!$B$10*(1+'Assumptions'!$B$14)^(A14-$A$6)</x:f>
        <x:v>3046.007243774793</x:v>
      </x:c>
      <x:c r="E14" s="70" t="n">
        <x:f>'Assumptions'!$B$6*'Assumptions'!$B$7*B14*C14</x:f>
        <x:v>4166937.909483917</x:v>
      </x:c>
      <x:c r="F14" s="70" t="n">
        <x:f>'Assumptions'!$B$6*'Assumptions'!$B$8*B14*D14</x:f>
        <x:v>20255948.171102375</x:v>
      </x:c>
      <x:c r="G14" s="70" t="n">
        <x:f>(E14+F14)*'Assumptions'!$B$15</x:f>
        <x:v>2442288.608058629</x:v>
      </x:c>
      <x:c r="H14" s="70" t="n">
        <x:f>SUM(E14:G14)</x:f>
        <x:v>26865174.68864492</x:v>
      </x:c>
      <x:c r="I14" s="70" t="n">
        <x:f>'Assumptions'!$B$16*(1+'Assumptions'!$B$14)^(A14-$A$6)</x:f>
        <x:v>1462083.4770119006</x:v>
      </x:c>
      <x:c r="J14" s="70" t="n">
        <x:f>H14-I14</x:f>
        <x:v>25403091.21163302</x:v>
      </x:c>
    </x:row>
    <x:row r="16">
      <x:c r="A16" s="69" t="str">
        <x:v>Interpretation boundary: Illustrative NOI is gross income less operating expense only. It is not free cash flow, NPV, IRR or an investment recommendation.</x:v>
      </x:c>
      <x:c r="B16" s="69"/>
      <x:c r="C16" s="69"/>
      <x:c r="D16" s="69"/>
      <x:c r="E16" s="69"/>
      <x:c r="F16" s="69"/>
      <x:c r="G16" s="69"/>
      <x:c r="H16" s="69"/>
      <x:c r="I16" s="69"/>
      <x:c r="J16" s="69"/>
    </x:row>
    <x:row r="17">
      <x:c r="A17" s="69"/>
      <x:c r="B17" s="69"/>
      <x:c r="C17" s="69"/>
      <x:c r="D17" s="69"/>
      <x:c r="E17" s="69"/>
      <x:c r="F17" s="69"/>
      <x:c r="G17" s="69"/>
      <x:c r="H17" s="69"/>
      <x:c r="I17" s="69"/>
      <x:c r="J17" s="69"/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</x:row>
  </x:sheetData>
  <x:mergeCells>
    <x:mergeCell ref="A1:H2"/>
    <x:mergeCell ref="A3:H3"/>
    <x:mergeCell ref="A16:J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48" hidden="0" customWidth="1"/>
  </x:cols>
  <x:sheetData>
    <x:row r="1" ht="28" customHeight="1">
      <x:c r="A1" s="9" t="str">
        <x:v>Audit Register</x:v>
      </x:c>
      <x:c r="B1" s="10"/>
      <x:c r="C1" s="10"/>
      <x:c r="D1" s="10"/>
      <x:c r="E1" s="10"/>
      <x:c r="F1" s="10"/>
      <x:c r="G1" s="10"/>
      <x:c r="H1" s="11"/>
    </x:row>
    <x:row r="2" ht="28" customHeight="1">
      <x:c r="A2" s="12"/>
      <x:c r="B2" s="4"/>
      <x:c r="C2" s="4"/>
      <x:c r="D2" s="4"/>
      <x:c r="E2" s="4"/>
      <x:c r="F2" s="4"/>
      <x:c r="G2" s="4"/>
      <x:c r="H2" s="13"/>
    </x:row>
    <x:row r="3" ht="32" customHeight="1">
      <x:c r="A3" s="14" t="str">
        <x:v>One assertion per row. The public extract shows what is checked, what remains unresolved and how the limitation is communicated.</x:v>
      </x:c>
      <x:c r="B3" s="15"/>
      <x:c r="C3" s="15"/>
      <x:c r="D3" s="15"/>
      <x:c r="E3" s="15"/>
      <x:c r="F3" s="15"/>
      <x:c r="G3" s="15"/>
      <x:c r="H3" s="16"/>
    </x:row>
    <x:row r="5">
      <x:c r="A5" s="32" t="str">
        <x:v>Check</x:v>
      </x:c>
      <x:c r="B5" s="32" t="str">
        <x:v>Actual</x:v>
      </x:c>
      <x:c r="C5" s="32" t="str">
        <x:v>Expected</x:v>
      </x:c>
      <x:c r="D5" s="32" t="str">
        <x:v>Difference</x:v>
      </x:c>
      <x:c r="E5" s="32" t="str">
        <x:v>Tolerance</x:v>
      </x:c>
      <x:c r="F5" s="32" t="str">
        <x:v>Status</x:v>
      </x:c>
      <x:c r="G5" s="32" t="str">
        <x:v>Notes</x:v>
      </x:c>
    </x:row>
    <x:row r="6">
      <x:c r="A6" s="27" t="str">
        <x:v>Tenant shares sum to 100%</x:v>
      </x:c>
      <x:c r="B6" s="64" t="n">
        <x:f>'Assumptions'!B7+'Assumptions'!B8</x:f>
        <x:v>1</x:v>
      </x:c>
      <x:c r="C6" s="64" t="n">
        <x:v>1</x:v>
      </x:c>
      <x:c r="D6" s="64" t="n">
        <x:f>B6-C6</x:f>
        <x:v>0</x:v>
      </x:c>
      <x:c r="E6" s="64" t="n">
        <x:v>0.0001</x:v>
      </x:c>
      <x:c r="F6" s="27" t="str">
        <x:f>IF(ABS(D6)&lt;=E6,"OK","CHECK")</x:f>
        <x:v>OK</x:v>
      </x:c>
      <x:c r="G6" s="27" t="str">
        <x:v>Anchor plus specialty share</x:v>
      </x:c>
    </x:row>
    <x:row r="7">
      <x:c r="A7" s="27" t="str">
        <x:v>Capital components sum to total</x:v>
      </x:c>
      <x:c r="B7" s="70" t="n">
        <x:f>'Assumptions'!B20</x:f>
        <x:v>22000000</x:v>
      </x:c>
      <x:c r="C7" s="70" t="n">
        <x:v>22000000</x:v>
      </x:c>
      <x:c r="D7" s="70" t="n">
        <x:f>B7-C7</x:f>
        <x:v>0</x:v>
      </x:c>
      <x:c r="E7" s="70" t="n">
        <x:v>1</x:v>
      </x:c>
      <x:c r="F7" s="27" t="str">
        <x:f>IF(ABS(D7)&lt;=E7,"OK","CHECK")</x:f>
        <x:v>OK</x:v>
      </x:c>
      <x:c r="G7" s="27" t="str">
        <x:v>Land + construction + soft costs</x:v>
      </x:c>
    </x:row>
    <x:row r="8">
      <x:c r="A8" s="27" t="str">
        <x:v>Opening gross income reproduces disclosed operating logic</x:v>
      </x:c>
      <x:c r="B8" s="70" t="n">
        <x:f>'Revenue Extract'!H6</x:f>
        <x:v>18568000</x:v>
      </x:c>
      <x:c r="C8" s="70" t="n">
        <x:v>18568000</x:v>
      </x:c>
      <x:c r="D8" s="70" t="n">
        <x:f>B8-C8</x:f>
        <x:v>0</x:v>
      </x:c>
      <x:c r="E8" s="70" t="n">
        <x:v>1</x:v>
      </x:c>
      <x:c r="F8" s="27" t="str">
        <x:f>IF(ABS(D8)&lt;=E8,"OK","CHECK")</x:f>
        <x:v>OK</x:v>
      </x:c>
      <x:c r="G8" s="27" t="str">
        <x:v>10,000 sqm, tenant mix, 80% occupancy and 10% ancillary</x:v>
      </x:c>
    </x:row>
    <x:row r="9">
      <x:c r="A9" s="27" t="str">
        <x:v>Original NPV / IRR reconcile across workbook and report</x:v>
      </x:c>
      <x:c r="B9" s="27"/>
      <x:c r="C9" s="27"/>
      <x:c r="D9" s="27"/>
      <x:c r="E9" s="27"/>
      <x:c r="F9" s="72" t="str">
        <x:v>DISCLOSED</x:v>
      </x:c>
      <x:c r="G9" s="27" t="str">
        <x:v>Not reconciled; no headline return is presented as verified</x:v>
      </x:c>
    </x:row>
    <x:row r="10">
      <x:c r="A10" s="27" t="str">
        <x:v>Public file contains student identifiers or external paths</x:v>
      </x:c>
      <x:c r="B10" s="27" t="n">
        <x:v>0</x:v>
      </x:c>
      <x:c r="C10" s="27" t="n">
        <x:v>0</x:v>
      </x:c>
      <x:c r="D10" s="27" t="n">
        <x:v>0</x:v>
      </x:c>
      <x:c r="E10" s="27" t="n">
        <x:v>0</x:v>
      </x:c>
      <x:c r="F10" s="74" t="str">
        <x:v>OK</x:v>
      </x:c>
      <x:c r="G10" s="27" t="str">
        <x:v>Checked after export at package level</x:v>
      </x:c>
    </x:row>
    <x:row r="12">
      <x:c r="A12" s="93" t="str">
        <x:v>Quality statement: The public workbook intentionally exposes a limited, auditable calculation instead of copying the original model's unresolved return outputs. The complete academic source remains private.</x:v>
      </x:c>
      <x:c r="B12" s="94"/>
      <x:c r="C12" s="94"/>
      <x:c r="D12" s="94"/>
      <x:c r="E12" s="94"/>
      <x:c r="F12" s="94"/>
      <x:c r="G12" s="95"/>
    </x:row>
    <x:row r="13">
      <x:c r="A13" s="96"/>
      <x:c r="B13" s="97"/>
      <x:c r="C13" s="97"/>
      <x:c r="D13" s="97"/>
      <x:c r="E13" s="97"/>
      <x:c r="F13" s="97"/>
      <x:c r="G13" s="98"/>
    </x:row>
    <x:row r="14">
      <x:c r="A14" s="96"/>
      <x:c r="B14" s="97"/>
      <x:c r="C14" s="97"/>
      <x:c r="D14" s="97"/>
      <x:c r="E14" s="97"/>
      <x:c r="F14" s="97"/>
      <x:c r="G14" s="98"/>
    </x:row>
    <x:row r="15">
      <x:c r="A15" s="99"/>
      <x:c r="B15" s="100"/>
      <x:c r="C15" s="100"/>
      <x:c r="D15" s="100"/>
      <x:c r="E15" s="100"/>
      <x:c r="F15" s="100"/>
      <x:c r="G15" s="101"/>
    </x:row>
  </x:sheetData>
  <x:mergeCells>
    <x:mergeCell ref="A1:H2"/>
    <x:mergeCell ref="A3:H3"/>
    <x:mergeCell ref="A12:G15"/>
  </x:mergeCells>
  <x:conditionalFormatting sqref="F6:F8">
    <x:cfRule type="containsText" dxfId="0" priority="1" operator="containsText" text="OK"/>
  </x:conditionalFormatting>
  <x:pageMargins left="0.7" right="0.7" top="0.75" bottom="0.75" header="0.3" footer="0.3"/>
</x:worksheet>
</file>